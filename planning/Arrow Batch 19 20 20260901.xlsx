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hafttracker\"/>
    </mc:Choice>
  </mc:AlternateContent>
  <xr:revisionPtr revIDLastSave="0" documentId="8_{802D64EE-A703-481C-8D25-BC44834B25AB}" xr6:coauthVersionLast="47" xr6:coauthVersionMax="47" xr10:uidLastSave="{00000000-0000-0000-0000-000000000000}"/>
  <bookViews>
    <workbookView xWindow="13410" yWindow="510" windowWidth="40065" windowHeight="22605" xr2:uid="{3D9BC4DB-4C52-4A6F-8D68-B2258C98B99B}"/>
  </bookViews>
  <sheets>
    <sheet name="SPEC" sheetId="6" r:id="rId1"/>
    <sheet name="BATCH19" sheetId="1" r:id="rId2"/>
    <sheet name="BATCH20" sheetId="2" r:id="rId3"/>
    <sheet name="CLUSTERS" sheetId="5" r:id="rId4"/>
    <sheet name="GROUPS" sheetId="4" r:id="rId5"/>
    <sheet name="ANALYSIS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" i="6" l="1"/>
  <c r="D10" i="6"/>
  <c r="D9" i="6"/>
  <c r="D8" i="6"/>
  <c r="D7" i="6"/>
  <c r="D6" i="6"/>
  <c r="A9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R20" i="5"/>
  <c r="A26" i="5"/>
  <c r="A28" i="5"/>
  <c r="A54" i="5"/>
  <c r="A55" i="5"/>
  <c r="A62" i="5"/>
  <c r="A84" i="5"/>
  <c r="A86" i="5"/>
  <c r="A108" i="5"/>
  <c r="A110" i="5"/>
  <c r="A118" i="5"/>
  <c r="B4" i="5"/>
  <c r="B3" i="5"/>
  <c r="A1" i="5" s="1"/>
  <c r="H30" i="3"/>
  <c r="A2" i="3"/>
  <c r="A24" i="3"/>
  <c r="A23" i="3"/>
  <c r="A21" i="3"/>
  <c r="N80" i="4" a="1"/>
  <c r="N80" i="4" s="1"/>
  <c r="M80" i="4"/>
  <c r="L80" i="4"/>
  <c r="K80" i="4"/>
  <c r="J80" i="4"/>
  <c r="I80" i="4"/>
  <c r="H80" i="4"/>
  <c r="G80" i="4"/>
  <c r="F80" i="4"/>
  <c r="E80" i="4"/>
  <c r="D80" i="4"/>
  <c r="C80" i="4"/>
  <c r="N79" i="4" a="1"/>
  <c r="N79" i="4" s="1"/>
  <c r="M79" i="4"/>
  <c r="L79" i="4"/>
  <c r="K79" i="4"/>
  <c r="J79" i="4"/>
  <c r="I79" i="4"/>
  <c r="H79" i="4"/>
  <c r="G79" i="4"/>
  <c r="F79" i="4"/>
  <c r="E79" i="4"/>
  <c r="D79" i="4"/>
  <c r="C79" i="4"/>
  <c r="N78" i="4" a="1"/>
  <c r="N78" i="4" s="1"/>
  <c r="M78" i="4"/>
  <c r="L78" i="4"/>
  <c r="K78" i="4"/>
  <c r="J78" i="4"/>
  <c r="I78" i="4"/>
  <c r="H78" i="4"/>
  <c r="G78" i="4"/>
  <c r="F78" i="4"/>
  <c r="E78" i="4"/>
  <c r="D78" i="4"/>
  <c r="C78" i="4"/>
  <c r="N77" i="4" a="1"/>
  <c r="N77" i="4" s="1"/>
  <c r="M77" i="4"/>
  <c r="L77" i="4"/>
  <c r="K77" i="4"/>
  <c r="J77" i="4"/>
  <c r="I77" i="4"/>
  <c r="H77" i="4"/>
  <c r="G77" i="4"/>
  <c r="F77" i="4"/>
  <c r="E77" i="4"/>
  <c r="D77" i="4"/>
  <c r="C77" i="4"/>
  <c r="N76" i="4" a="1"/>
  <c r="N76" i="4" s="1"/>
  <c r="M76" i="4"/>
  <c r="L76" i="4"/>
  <c r="K76" i="4"/>
  <c r="J76" i="4"/>
  <c r="I76" i="4"/>
  <c r="H76" i="4"/>
  <c r="G76" i="4"/>
  <c r="F76" i="4"/>
  <c r="E76" i="4"/>
  <c r="D76" i="4"/>
  <c r="C76" i="4"/>
  <c r="N75" i="4" a="1"/>
  <c r="N75" i="4" s="1"/>
  <c r="M75" i="4"/>
  <c r="L75" i="4"/>
  <c r="K75" i="4"/>
  <c r="J75" i="4"/>
  <c r="I75" i="4"/>
  <c r="H75" i="4"/>
  <c r="G75" i="4"/>
  <c r="F75" i="4"/>
  <c r="E75" i="4"/>
  <c r="D75" i="4"/>
  <c r="C75" i="4"/>
  <c r="N74" i="4" a="1"/>
  <c r="N74" i="4" s="1"/>
  <c r="M74" i="4"/>
  <c r="L74" i="4"/>
  <c r="K74" i="4"/>
  <c r="J74" i="4"/>
  <c r="I74" i="4"/>
  <c r="H74" i="4"/>
  <c r="G74" i="4"/>
  <c r="F74" i="4"/>
  <c r="E74" i="4"/>
  <c r="D74" i="4"/>
  <c r="C74" i="4"/>
  <c r="N73" i="4" a="1"/>
  <c r="N73" i="4" s="1"/>
  <c r="M73" i="4"/>
  <c r="L73" i="4"/>
  <c r="K73" i="4"/>
  <c r="J73" i="4"/>
  <c r="I73" i="4"/>
  <c r="H73" i="4"/>
  <c r="G73" i="4"/>
  <c r="F73" i="4"/>
  <c r="E73" i="4"/>
  <c r="D73" i="4"/>
  <c r="C73" i="4"/>
  <c r="N72" i="4" a="1"/>
  <c r="N72" i="4" s="1"/>
  <c r="M72" i="4"/>
  <c r="L72" i="4"/>
  <c r="K72" i="4"/>
  <c r="J72" i="4"/>
  <c r="I72" i="4"/>
  <c r="H72" i="4"/>
  <c r="G72" i="4"/>
  <c r="F72" i="4"/>
  <c r="E72" i="4"/>
  <c r="D72" i="4"/>
  <c r="C72" i="4"/>
  <c r="N71" i="4" a="1"/>
  <c r="N71" i="4" s="1"/>
  <c r="M71" i="4"/>
  <c r="L71" i="4"/>
  <c r="K71" i="4"/>
  <c r="J71" i="4"/>
  <c r="I71" i="4"/>
  <c r="H71" i="4"/>
  <c r="G71" i="4"/>
  <c r="F71" i="4"/>
  <c r="E71" i="4"/>
  <c r="D71" i="4"/>
  <c r="C71" i="4"/>
  <c r="N70" i="4" a="1"/>
  <c r="N70" i="4" s="1"/>
  <c r="M70" i="4"/>
  <c r="L70" i="4"/>
  <c r="K70" i="4"/>
  <c r="J70" i="4"/>
  <c r="I70" i="4"/>
  <c r="H70" i="4"/>
  <c r="G70" i="4"/>
  <c r="F70" i="4"/>
  <c r="E70" i="4"/>
  <c r="D70" i="4"/>
  <c r="C70" i="4"/>
  <c r="N69" i="4" a="1"/>
  <c r="N69" i="4" s="1"/>
  <c r="M69" i="4"/>
  <c r="L69" i="4"/>
  <c r="K69" i="4"/>
  <c r="J69" i="4"/>
  <c r="I69" i="4"/>
  <c r="H69" i="4"/>
  <c r="G69" i="4"/>
  <c r="F69" i="4"/>
  <c r="E69" i="4"/>
  <c r="D69" i="4"/>
  <c r="C69" i="4"/>
  <c r="N68" i="4" a="1"/>
  <c r="N68" i="4" s="1"/>
  <c r="M68" i="4"/>
  <c r="L68" i="4"/>
  <c r="K68" i="4"/>
  <c r="J68" i="4"/>
  <c r="I68" i="4"/>
  <c r="H68" i="4"/>
  <c r="G68" i="4"/>
  <c r="F68" i="4"/>
  <c r="E68" i="4"/>
  <c r="D68" i="4"/>
  <c r="C68" i="4"/>
  <c r="N67" i="4" a="1"/>
  <c r="N67" i="4" s="1"/>
  <c r="M67" i="4"/>
  <c r="L67" i="4"/>
  <c r="K67" i="4"/>
  <c r="J67" i="4"/>
  <c r="I67" i="4"/>
  <c r="H67" i="4"/>
  <c r="G67" i="4"/>
  <c r="F67" i="4"/>
  <c r="E67" i="4"/>
  <c r="D67" i="4"/>
  <c r="C67" i="4"/>
  <c r="N66" i="4" a="1"/>
  <c r="N66" i="4" s="1"/>
  <c r="M66" i="4"/>
  <c r="L66" i="4"/>
  <c r="K66" i="4"/>
  <c r="J66" i="4"/>
  <c r="I66" i="4"/>
  <c r="H66" i="4"/>
  <c r="G66" i="4"/>
  <c r="F66" i="4"/>
  <c r="E66" i="4"/>
  <c r="D66" i="4"/>
  <c r="C66" i="4"/>
  <c r="N65" i="4" a="1"/>
  <c r="N65" i="4" s="1"/>
  <c r="M65" i="4"/>
  <c r="L65" i="4"/>
  <c r="K65" i="4"/>
  <c r="J65" i="4"/>
  <c r="I65" i="4"/>
  <c r="H65" i="4"/>
  <c r="G65" i="4"/>
  <c r="F65" i="4"/>
  <c r="E65" i="4"/>
  <c r="D65" i="4"/>
  <c r="C65" i="4"/>
  <c r="N64" i="4" a="1"/>
  <c r="N64" i="4" s="1"/>
  <c r="M64" i="4"/>
  <c r="L64" i="4"/>
  <c r="K64" i="4"/>
  <c r="J64" i="4"/>
  <c r="I64" i="4"/>
  <c r="H64" i="4"/>
  <c r="G64" i="4"/>
  <c r="F64" i="4"/>
  <c r="E64" i="4"/>
  <c r="D64" i="4"/>
  <c r="C64" i="4"/>
  <c r="N63" i="4" a="1"/>
  <c r="N63" i="4" s="1"/>
  <c r="M63" i="4"/>
  <c r="L63" i="4"/>
  <c r="K63" i="4"/>
  <c r="J63" i="4"/>
  <c r="I63" i="4"/>
  <c r="H63" i="4"/>
  <c r="G63" i="4"/>
  <c r="F63" i="4"/>
  <c r="E63" i="4"/>
  <c r="D63" i="4"/>
  <c r="C63" i="4"/>
  <c r="N62" i="4" a="1"/>
  <c r="N62" i="4" s="1"/>
  <c r="M62" i="4"/>
  <c r="L62" i="4"/>
  <c r="K62" i="4"/>
  <c r="J62" i="4"/>
  <c r="I62" i="4"/>
  <c r="H62" i="4"/>
  <c r="G62" i="4"/>
  <c r="F62" i="4"/>
  <c r="E62" i="4"/>
  <c r="D62" i="4"/>
  <c r="C62" i="4"/>
  <c r="N61" i="4" a="1"/>
  <c r="N61" i="4" s="1"/>
  <c r="M61" i="4"/>
  <c r="L61" i="4"/>
  <c r="K61" i="4"/>
  <c r="J61" i="4"/>
  <c r="I61" i="4"/>
  <c r="H61" i="4"/>
  <c r="G61" i="4"/>
  <c r="F61" i="4"/>
  <c r="E61" i="4"/>
  <c r="D61" i="4"/>
  <c r="C61" i="4"/>
  <c r="N60" i="4" a="1"/>
  <c r="N60" i="4" s="1"/>
  <c r="M60" i="4"/>
  <c r="L60" i="4"/>
  <c r="K60" i="4"/>
  <c r="J60" i="4"/>
  <c r="I60" i="4"/>
  <c r="H60" i="4"/>
  <c r="G60" i="4"/>
  <c r="F60" i="4"/>
  <c r="E60" i="4"/>
  <c r="D60" i="4"/>
  <c r="C60" i="4"/>
  <c r="N59" i="4" a="1"/>
  <c r="N59" i="4" s="1"/>
  <c r="M59" i="4"/>
  <c r="L59" i="4"/>
  <c r="K59" i="4"/>
  <c r="J59" i="4"/>
  <c r="I59" i="4"/>
  <c r="H59" i="4"/>
  <c r="G59" i="4"/>
  <c r="F59" i="4"/>
  <c r="E59" i="4"/>
  <c r="D59" i="4"/>
  <c r="C59" i="4"/>
  <c r="N58" i="4" a="1"/>
  <c r="N58" i="4" s="1"/>
  <c r="M58" i="4"/>
  <c r="L58" i="4"/>
  <c r="K58" i="4"/>
  <c r="J58" i="4"/>
  <c r="I58" i="4"/>
  <c r="H58" i="4"/>
  <c r="G58" i="4"/>
  <c r="F58" i="4"/>
  <c r="E58" i="4"/>
  <c r="D58" i="4"/>
  <c r="C58" i="4"/>
  <c r="N57" i="4" a="1"/>
  <c r="N57" i="4" s="1"/>
  <c r="M57" i="4"/>
  <c r="L57" i="4"/>
  <c r="K57" i="4"/>
  <c r="J57" i="4"/>
  <c r="I57" i="4"/>
  <c r="H57" i="4"/>
  <c r="G57" i="4"/>
  <c r="F57" i="4"/>
  <c r="E57" i="4"/>
  <c r="D57" i="4"/>
  <c r="C57" i="4"/>
  <c r="N56" i="4" a="1"/>
  <c r="N56" i="4" s="1"/>
  <c r="M56" i="4"/>
  <c r="L56" i="4"/>
  <c r="K56" i="4"/>
  <c r="J56" i="4"/>
  <c r="I56" i="4"/>
  <c r="H56" i="4"/>
  <c r="G56" i="4"/>
  <c r="F56" i="4"/>
  <c r="E56" i="4"/>
  <c r="D56" i="4"/>
  <c r="C56" i="4"/>
  <c r="N55" i="4" a="1"/>
  <c r="N55" i="4" s="1"/>
  <c r="M55" i="4"/>
  <c r="L55" i="4"/>
  <c r="K55" i="4"/>
  <c r="J55" i="4"/>
  <c r="I55" i="4"/>
  <c r="H55" i="4"/>
  <c r="G55" i="4"/>
  <c r="F55" i="4"/>
  <c r="E55" i="4"/>
  <c r="D55" i="4"/>
  <c r="C55" i="4"/>
  <c r="N54" i="4" a="1"/>
  <c r="N54" i="4" s="1"/>
  <c r="M54" i="4"/>
  <c r="L54" i="4"/>
  <c r="K54" i="4"/>
  <c r="J54" i="4"/>
  <c r="I54" i="4"/>
  <c r="H54" i="4"/>
  <c r="G54" i="4"/>
  <c r="F54" i="4"/>
  <c r="E54" i="4"/>
  <c r="D54" i="4"/>
  <c r="C54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B7" i="4"/>
  <c r="B8" i="4"/>
  <c r="B6" i="4"/>
  <c r="N109" i="3"/>
  <c r="N43" i="3"/>
  <c r="N13" i="3"/>
  <c r="Q13" i="3" s="1"/>
  <c r="Q12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AA91" i="3"/>
  <c r="Z91" i="3"/>
  <c r="Z90" i="3"/>
  <c r="Z89" i="3"/>
  <c r="Z88" i="3"/>
  <c r="Z87" i="3"/>
  <c r="Z86" i="3"/>
  <c r="Z85" i="3"/>
  <c r="Z84" i="3"/>
  <c r="Z83" i="3"/>
  <c r="Z82" i="3"/>
  <c r="Z81" i="3"/>
  <c r="AA80" i="3"/>
  <c r="AA79" i="3"/>
  <c r="AA78" i="3"/>
  <c r="AA77" i="3"/>
  <c r="AA76" i="3"/>
  <c r="AA75" i="3"/>
  <c r="Z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G130" i="3"/>
  <c r="N130" i="3" s="1"/>
  <c r="D130" i="3"/>
  <c r="C130" i="3"/>
  <c r="B130" i="3"/>
  <c r="A124" i="5" s="1"/>
  <c r="G129" i="3"/>
  <c r="AA129" i="3" s="1"/>
  <c r="D129" i="3"/>
  <c r="C129" i="3"/>
  <c r="B129" i="3"/>
  <c r="A123" i="5" s="1"/>
  <c r="G128" i="3"/>
  <c r="D128" i="3"/>
  <c r="C128" i="3"/>
  <c r="B128" i="3"/>
  <c r="A122" i="5" s="1"/>
  <c r="G127" i="3"/>
  <c r="C121" i="5" s="1"/>
  <c r="D127" i="3"/>
  <c r="C127" i="3"/>
  <c r="B127" i="3"/>
  <c r="A121" i="5" s="1"/>
  <c r="G126" i="3"/>
  <c r="N126" i="3" s="1"/>
  <c r="D126" i="3"/>
  <c r="C126" i="3"/>
  <c r="B126" i="3"/>
  <c r="A120" i="5" s="1"/>
  <c r="G125" i="3"/>
  <c r="AA125" i="3" s="1"/>
  <c r="D125" i="3"/>
  <c r="C125" i="3"/>
  <c r="B125" i="3"/>
  <c r="A119" i="5" s="1"/>
  <c r="G124" i="3"/>
  <c r="D124" i="3"/>
  <c r="C124" i="3"/>
  <c r="B124" i="3"/>
  <c r="G123" i="3"/>
  <c r="N123" i="3" s="1"/>
  <c r="D123" i="3"/>
  <c r="C123" i="3"/>
  <c r="B123" i="3"/>
  <c r="A117" i="5" s="1"/>
  <c r="G122" i="3"/>
  <c r="N122" i="3" s="1"/>
  <c r="D122" i="3"/>
  <c r="C122" i="3"/>
  <c r="B122" i="3"/>
  <c r="A116" i="5" s="1"/>
  <c r="G121" i="3"/>
  <c r="AA121" i="3" s="1"/>
  <c r="D121" i="3"/>
  <c r="C121" i="3"/>
  <c r="B121" i="3"/>
  <c r="A115" i="5" s="1"/>
  <c r="G120" i="3"/>
  <c r="D120" i="3"/>
  <c r="C120" i="3"/>
  <c r="B120" i="3"/>
  <c r="A114" i="5" s="1"/>
  <c r="G119" i="3"/>
  <c r="N119" i="3" s="1"/>
  <c r="D119" i="3"/>
  <c r="C119" i="3"/>
  <c r="E119" i="3" s="1"/>
  <c r="B113" i="5" s="1"/>
  <c r="B119" i="3"/>
  <c r="A113" i="5" s="1"/>
  <c r="G118" i="3"/>
  <c r="C112" i="5" s="1"/>
  <c r="D118" i="3"/>
  <c r="C118" i="3"/>
  <c r="B118" i="3"/>
  <c r="A112" i="5" s="1"/>
  <c r="G117" i="3"/>
  <c r="N117" i="3" s="1"/>
  <c r="D117" i="3"/>
  <c r="C117" i="3"/>
  <c r="B117" i="3"/>
  <c r="A111" i="5" s="1"/>
  <c r="G116" i="3"/>
  <c r="N116" i="3" s="1"/>
  <c r="D116" i="3"/>
  <c r="C116" i="3"/>
  <c r="B116" i="3"/>
  <c r="G115" i="3"/>
  <c r="AA115" i="3" s="1"/>
  <c r="D115" i="3"/>
  <c r="C115" i="3"/>
  <c r="B115" i="3"/>
  <c r="A109" i="5" s="1"/>
  <c r="G114" i="3"/>
  <c r="N114" i="3" s="1"/>
  <c r="D114" i="3"/>
  <c r="C114" i="3"/>
  <c r="B114" i="3"/>
  <c r="G113" i="3"/>
  <c r="AA113" i="3" s="1"/>
  <c r="D113" i="3"/>
  <c r="C113" i="3"/>
  <c r="B113" i="3"/>
  <c r="A107" i="5" s="1"/>
  <c r="G112" i="3"/>
  <c r="D112" i="3"/>
  <c r="C112" i="3"/>
  <c r="B112" i="3"/>
  <c r="A106" i="5" s="1"/>
  <c r="G111" i="3"/>
  <c r="C105" i="5" s="1"/>
  <c r="D111" i="3"/>
  <c r="C111" i="3"/>
  <c r="B111" i="3"/>
  <c r="A105" i="5" s="1"/>
  <c r="G110" i="3"/>
  <c r="N110" i="3" s="1"/>
  <c r="D110" i="3"/>
  <c r="C110" i="3"/>
  <c r="B110" i="3"/>
  <c r="A104" i="5" s="1"/>
  <c r="G109" i="3"/>
  <c r="AA109" i="3" s="1"/>
  <c r="D109" i="3"/>
  <c r="C109" i="3"/>
  <c r="B109" i="3"/>
  <c r="A103" i="5" s="1"/>
  <c r="G108" i="3"/>
  <c r="D108" i="3"/>
  <c r="C108" i="3"/>
  <c r="B108" i="3"/>
  <c r="A102" i="5" s="1"/>
  <c r="G107" i="3"/>
  <c r="N107" i="3" s="1"/>
  <c r="D107" i="3"/>
  <c r="C107" i="3"/>
  <c r="B107" i="3"/>
  <c r="A101" i="5" s="1"/>
  <c r="G106" i="3"/>
  <c r="N106" i="3" s="1"/>
  <c r="D106" i="3"/>
  <c r="C106" i="3"/>
  <c r="B106" i="3"/>
  <c r="A100" i="5" s="1"/>
  <c r="G105" i="3"/>
  <c r="AA105" i="3" s="1"/>
  <c r="D105" i="3"/>
  <c r="C105" i="3"/>
  <c r="B105" i="3"/>
  <c r="A99" i="5" s="1"/>
  <c r="G104" i="3"/>
  <c r="D104" i="3"/>
  <c r="C104" i="3"/>
  <c r="B104" i="3"/>
  <c r="A98" i="5" s="1"/>
  <c r="G103" i="3"/>
  <c r="N103" i="3" s="1"/>
  <c r="D103" i="3"/>
  <c r="C103" i="3"/>
  <c r="E103" i="3" s="1"/>
  <c r="B97" i="5" s="1"/>
  <c r="B103" i="3"/>
  <c r="A97" i="5" s="1"/>
  <c r="G102" i="3"/>
  <c r="N102" i="3" s="1"/>
  <c r="D102" i="3"/>
  <c r="C102" i="3"/>
  <c r="B102" i="3"/>
  <c r="A96" i="5" s="1"/>
  <c r="G101" i="3"/>
  <c r="C95" i="5" s="1"/>
  <c r="D101" i="3"/>
  <c r="C101" i="3"/>
  <c r="B101" i="3"/>
  <c r="A95" i="5" s="1"/>
  <c r="G100" i="3"/>
  <c r="AA100" i="3" s="1"/>
  <c r="D100" i="3"/>
  <c r="C100" i="3"/>
  <c r="B100" i="3"/>
  <c r="A94" i="5" s="1"/>
  <c r="G99" i="3"/>
  <c r="AA99" i="3" s="1"/>
  <c r="D99" i="3"/>
  <c r="C99" i="3"/>
  <c r="B99" i="3"/>
  <c r="A93" i="5" s="1"/>
  <c r="G98" i="3"/>
  <c r="N98" i="3" s="1"/>
  <c r="D98" i="3"/>
  <c r="C98" i="3"/>
  <c r="B98" i="3"/>
  <c r="A92" i="5" s="1"/>
  <c r="G97" i="3"/>
  <c r="AA97" i="3" s="1"/>
  <c r="D97" i="3"/>
  <c r="C97" i="3"/>
  <c r="B97" i="3"/>
  <c r="A91" i="5" s="1"/>
  <c r="G96" i="3"/>
  <c r="D96" i="3"/>
  <c r="C96" i="3"/>
  <c r="B96" i="3"/>
  <c r="A90" i="5" s="1"/>
  <c r="G95" i="3"/>
  <c r="C89" i="5" s="1"/>
  <c r="D95" i="3"/>
  <c r="C95" i="3"/>
  <c r="E95" i="3" s="1"/>
  <c r="M95" i="3" s="1"/>
  <c r="B95" i="3"/>
  <c r="A89" i="5" s="1"/>
  <c r="G94" i="3"/>
  <c r="C88" i="5" s="1"/>
  <c r="D94" i="3"/>
  <c r="C94" i="3"/>
  <c r="B94" i="3"/>
  <c r="A88" i="5" s="1"/>
  <c r="G93" i="3"/>
  <c r="N93" i="3" s="1"/>
  <c r="D93" i="3"/>
  <c r="C93" i="3"/>
  <c r="B93" i="3"/>
  <c r="A87" i="5" s="1"/>
  <c r="G92" i="3"/>
  <c r="D92" i="3"/>
  <c r="C92" i="3"/>
  <c r="B92" i="3"/>
  <c r="G91" i="3"/>
  <c r="N91" i="3" s="1"/>
  <c r="D91" i="3"/>
  <c r="C91" i="3"/>
  <c r="F91" i="3" s="1"/>
  <c r="I91" i="3" s="1"/>
  <c r="B91" i="3"/>
  <c r="A85" i="5" s="1"/>
  <c r="G90" i="3"/>
  <c r="N90" i="3" s="1"/>
  <c r="D90" i="3"/>
  <c r="C90" i="3"/>
  <c r="B90" i="3"/>
  <c r="G89" i="3"/>
  <c r="AA89" i="3" s="1"/>
  <c r="D89" i="3"/>
  <c r="C89" i="3"/>
  <c r="B89" i="3"/>
  <c r="A83" i="5" s="1"/>
  <c r="G88" i="3"/>
  <c r="D88" i="3"/>
  <c r="C88" i="3"/>
  <c r="B88" i="3"/>
  <c r="A82" i="5" s="1"/>
  <c r="G87" i="3"/>
  <c r="N87" i="3" s="1"/>
  <c r="D87" i="3"/>
  <c r="C87" i="3"/>
  <c r="B87" i="3"/>
  <c r="A81" i="5" s="1"/>
  <c r="G86" i="3"/>
  <c r="N86" i="3" s="1"/>
  <c r="D86" i="3"/>
  <c r="C86" i="3"/>
  <c r="B86" i="3"/>
  <c r="A80" i="5" s="1"/>
  <c r="G85" i="3"/>
  <c r="N85" i="3" s="1"/>
  <c r="D85" i="3"/>
  <c r="C85" i="3"/>
  <c r="B85" i="3"/>
  <c r="A79" i="5" s="1"/>
  <c r="G84" i="3"/>
  <c r="AA84" i="3" s="1"/>
  <c r="D84" i="3"/>
  <c r="C84" i="3"/>
  <c r="B84" i="3"/>
  <c r="A78" i="5" s="1"/>
  <c r="G83" i="3"/>
  <c r="AA83" i="3" s="1"/>
  <c r="D83" i="3"/>
  <c r="C83" i="3"/>
  <c r="E83" i="3" s="1"/>
  <c r="B83" i="3"/>
  <c r="A77" i="5" s="1"/>
  <c r="G82" i="3"/>
  <c r="N82" i="3" s="1"/>
  <c r="D82" i="3"/>
  <c r="C82" i="3"/>
  <c r="B82" i="3"/>
  <c r="A76" i="5" s="1"/>
  <c r="G81" i="3"/>
  <c r="C75" i="5" s="1"/>
  <c r="D81" i="3"/>
  <c r="C81" i="3"/>
  <c r="B81" i="3"/>
  <c r="A75" i="5" s="1"/>
  <c r="G80" i="3"/>
  <c r="D80" i="3"/>
  <c r="C80" i="3"/>
  <c r="B80" i="3"/>
  <c r="A74" i="5" s="1"/>
  <c r="G79" i="3"/>
  <c r="N79" i="3" s="1"/>
  <c r="D79" i="3"/>
  <c r="C79" i="3"/>
  <c r="B79" i="3"/>
  <c r="A73" i="5" s="1"/>
  <c r="G78" i="3"/>
  <c r="N78" i="3" s="1"/>
  <c r="D78" i="3"/>
  <c r="C78" i="3"/>
  <c r="B78" i="3"/>
  <c r="A72" i="5" s="1"/>
  <c r="G77" i="3"/>
  <c r="N77" i="3" s="1"/>
  <c r="D77" i="3"/>
  <c r="C77" i="3"/>
  <c r="B77" i="3"/>
  <c r="A71" i="5" s="1"/>
  <c r="G76" i="3"/>
  <c r="D76" i="3"/>
  <c r="C76" i="3"/>
  <c r="B76" i="3"/>
  <c r="A70" i="5" s="1"/>
  <c r="G75" i="3"/>
  <c r="N75" i="3" s="1"/>
  <c r="D75" i="3"/>
  <c r="C75" i="3"/>
  <c r="B75" i="3"/>
  <c r="A69" i="5" s="1"/>
  <c r="G74" i="3"/>
  <c r="Z74" i="3" s="1"/>
  <c r="D74" i="3"/>
  <c r="C74" i="3"/>
  <c r="B74" i="3"/>
  <c r="A68" i="5" s="1"/>
  <c r="G73" i="3"/>
  <c r="Z73" i="3" s="1"/>
  <c r="D73" i="3"/>
  <c r="C73" i="3"/>
  <c r="B73" i="3"/>
  <c r="A67" i="5" s="1"/>
  <c r="G72" i="3"/>
  <c r="D72" i="3"/>
  <c r="C72" i="3"/>
  <c r="B72" i="3"/>
  <c r="A66" i="5" s="1"/>
  <c r="G71" i="3"/>
  <c r="C65" i="5" s="1"/>
  <c r="D71" i="3"/>
  <c r="C71" i="3"/>
  <c r="B71" i="3"/>
  <c r="A65" i="5" s="1"/>
  <c r="G70" i="3"/>
  <c r="Z70" i="3" s="1"/>
  <c r="D70" i="3"/>
  <c r="C70" i="3"/>
  <c r="B70" i="3"/>
  <c r="A64" i="5" s="1"/>
  <c r="G69" i="3"/>
  <c r="N69" i="3" s="1"/>
  <c r="D69" i="3"/>
  <c r="C69" i="3"/>
  <c r="B69" i="3"/>
  <c r="A63" i="5" s="1"/>
  <c r="G68" i="3"/>
  <c r="C62" i="5" s="1"/>
  <c r="D68" i="3"/>
  <c r="C68" i="3"/>
  <c r="B68" i="3"/>
  <c r="G67" i="3"/>
  <c r="N67" i="3" s="1"/>
  <c r="D67" i="3"/>
  <c r="C67" i="3"/>
  <c r="B67" i="3"/>
  <c r="A61" i="5" s="1"/>
  <c r="G66" i="3"/>
  <c r="N66" i="3" s="1"/>
  <c r="D66" i="3"/>
  <c r="C66" i="3"/>
  <c r="B66" i="3"/>
  <c r="A60" i="5" s="1"/>
  <c r="G65" i="3"/>
  <c r="Z65" i="3" s="1"/>
  <c r="D65" i="3"/>
  <c r="C65" i="3"/>
  <c r="B65" i="3"/>
  <c r="A59" i="5" s="1"/>
  <c r="G64" i="3"/>
  <c r="D64" i="3"/>
  <c r="C64" i="3"/>
  <c r="B64" i="3"/>
  <c r="A58" i="5" s="1"/>
  <c r="G63" i="3"/>
  <c r="N63" i="3" s="1"/>
  <c r="D63" i="3"/>
  <c r="C63" i="3"/>
  <c r="B63" i="3"/>
  <c r="A57" i="5" s="1"/>
  <c r="G62" i="3"/>
  <c r="C56" i="5" s="1"/>
  <c r="D62" i="3"/>
  <c r="C62" i="3"/>
  <c r="B62" i="3"/>
  <c r="A56" i="5" s="1"/>
  <c r="G61" i="3"/>
  <c r="N61" i="3" s="1"/>
  <c r="D61" i="3"/>
  <c r="C61" i="3"/>
  <c r="B61" i="3"/>
  <c r="G60" i="3"/>
  <c r="D60" i="3"/>
  <c r="C60" i="3"/>
  <c r="B60" i="3"/>
  <c r="G59" i="3"/>
  <c r="N59" i="3" s="1"/>
  <c r="D59" i="3"/>
  <c r="C59" i="3"/>
  <c r="B59" i="3"/>
  <c r="A53" i="5" s="1"/>
  <c r="G58" i="3"/>
  <c r="C52" i="5" s="1"/>
  <c r="D58" i="3"/>
  <c r="C58" i="3"/>
  <c r="B58" i="3"/>
  <c r="A52" i="5" s="1"/>
  <c r="G57" i="3"/>
  <c r="Z57" i="3" s="1"/>
  <c r="D57" i="3"/>
  <c r="C57" i="3"/>
  <c r="B57" i="3"/>
  <c r="A51" i="5" s="1"/>
  <c r="G56" i="3"/>
  <c r="D56" i="3"/>
  <c r="C56" i="3"/>
  <c r="B56" i="3"/>
  <c r="A50" i="5" s="1"/>
  <c r="G55" i="3"/>
  <c r="C49" i="5" s="1"/>
  <c r="D55" i="3"/>
  <c r="C55" i="3"/>
  <c r="F55" i="3" s="1"/>
  <c r="I55" i="3" s="1"/>
  <c r="B55" i="3"/>
  <c r="A49" i="5" s="1"/>
  <c r="G54" i="3"/>
  <c r="N54" i="3" s="1"/>
  <c r="D54" i="3"/>
  <c r="C54" i="3"/>
  <c r="B54" i="3"/>
  <c r="A48" i="5" s="1"/>
  <c r="G53" i="3"/>
  <c r="N53" i="3" s="1"/>
  <c r="D53" i="3"/>
  <c r="C53" i="3"/>
  <c r="B53" i="3"/>
  <c r="A47" i="5" s="1"/>
  <c r="G52" i="3"/>
  <c r="Z52" i="3" s="1"/>
  <c r="D52" i="3"/>
  <c r="C52" i="3"/>
  <c r="B52" i="3"/>
  <c r="A46" i="5" s="1"/>
  <c r="G51" i="3"/>
  <c r="N51" i="3" s="1"/>
  <c r="D51" i="3"/>
  <c r="C51" i="3"/>
  <c r="B51" i="3"/>
  <c r="A45" i="5" s="1"/>
  <c r="G50" i="3"/>
  <c r="Z50" i="3" s="1"/>
  <c r="D50" i="3"/>
  <c r="C50" i="3"/>
  <c r="B50" i="3"/>
  <c r="A44" i="5" s="1"/>
  <c r="G49" i="3"/>
  <c r="Z49" i="3" s="1"/>
  <c r="D49" i="3"/>
  <c r="C49" i="3"/>
  <c r="B49" i="3"/>
  <c r="A43" i="5" s="1"/>
  <c r="G48" i="3"/>
  <c r="D48" i="3"/>
  <c r="C48" i="3"/>
  <c r="B48" i="3"/>
  <c r="A42" i="5" s="1"/>
  <c r="G47" i="3"/>
  <c r="N47" i="3" s="1"/>
  <c r="D47" i="3"/>
  <c r="C47" i="3"/>
  <c r="B47" i="3"/>
  <c r="A41" i="5" s="1"/>
  <c r="G46" i="3"/>
  <c r="C40" i="5" s="1"/>
  <c r="D46" i="3"/>
  <c r="C46" i="3"/>
  <c r="B46" i="3"/>
  <c r="A40" i="5" s="1"/>
  <c r="G45" i="3"/>
  <c r="N45" i="3" s="1"/>
  <c r="D45" i="3"/>
  <c r="C45" i="3"/>
  <c r="B45" i="3"/>
  <c r="A39" i="5" s="1"/>
  <c r="G44" i="3"/>
  <c r="D44" i="3"/>
  <c r="C44" i="3"/>
  <c r="B44" i="3"/>
  <c r="A38" i="5" s="1"/>
  <c r="G43" i="3"/>
  <c r="Z43" i="3" s="1"/>
  <c r="D43" i="3"/>
  <c r="C43" i="3"/>
  <c r="B43" i="3"/>
  <c r="A37" i="5" s="1"/>
  <c r="G42" i="3"/>
  <c r="C36" i="5" s="1"/>
  <c r="D42" i="3"/>
  <c r="C42" i="3"/>
  <c r="B42" i="3"/>
  <c r="A36" i="5" s="1"/>
  <c r="G41" i="3"/>
  <c r="Z41" i="3" s="1"/>
  <c r="D41" i="3"/>
  <c r="C41" i="3"/>
  <c r="B41" i="3"/>
  <c r="A35" i="5" s="1"/>
  <c r="G40" i="3"/>
  <c r="D40" i="3"/>
  <c r="C40" i="3"/>
  <c r="B40" i="3"/>
  <c r="A34" i="5" s="1"/>
  <c r="G39" i="3"/>
  <c r="C33" i="5" s="1"/>
  <c r="D39" i="3"/>
  <c r="C39" i="3"/>
  <c r="E39" i="3" s="1"/>
  <c r="B39" i="3"/>
  <c r="A33" i="5" s="1"/>
  <c r="G38" i="3"/>
  <c r="N38" i="3" s="1"/>
  <c r="D38" i="3"/>
  <c r="C38" i="3"/>
  <c r="B38" i="3"/>
  <c r="A32" i="5" s="1"/>
  <c r="G37" i="3"/>
  <c r="N37" i="3" s="1"/>
  <c r="D37" i="3"/>
  <c r="C37" i="3"/>
  <c r="B37" i="3"/>
  <c r="A31" i="5" s="1"/>
  <c r="G36" i="3"/>
  <c r="Z36" i="3" s="1"/>
  <c r="D36" i="3"/>
  <c r="C36" i="3"/>
  <c r="B36" i="3"/>
  <c r="A30" i="5" s="1"/>
  <c r="G35" i="3"/>
  <c r="N35" i="3" s="1"/>
  <c r="D35" i="3"/>
  <c r="C35" i="3"/>
  <c r="F35" i="3" s="1"/>
  <c r="I35" i="3" s="1"/>
  <c r="B35" i="3"/>
  <c r="A29" i="5" s="1"/>
  <c r="G34" i="3"/>
  <c r="N34" i="3" s="1"/>
  <c r="D34" i="3"/>
  <c r="C34" i="3"/>
  <c r="B34" i="3"/>
  <c r="G33" i="3"/>
  <c r="Z33" i="3" s="1"/>
  <c r="D33" i="3"/>
  <c r="C33" i="3"/>
  <c r="B33" i="3"/>
  <c r="A27" i="5" s="1"/>
  <c r="G32" i="3"/>
  <c r="D32" i="3"/>
  <c r="C32" i="3"/>
  <c r="B32" i="3"/>
  <c r="G31" i="3"/>
  <c r="C25" i="5" s="1"/>
  <c r="D31" i="3"/>
  <c r="C31" i="3"/>
  <c r="F31" i="3" s="1"/>
  <c r="B31" i="3"/>
  <c r="A25" i="5" s="1"/>
  <c r="C123" i="5" l="1"/>
  <c r="C97" i="5"/>
  <c r="C43" i="5"/>
  <c r="C94" i="5"/>
  <c r="F33" i="3"/>
  <c r="I33" i="3" s="1"/>
  <c r="F41" i="3"/>
  <c r="I41" i="3" s="1"/>
  <c r="F45" i="3"/>
  <c r="I45" i="3" s="1"/>
  <c r="E49" i="3"/>
  <c r="J49" i="3" s="1"/>
  <c r="E65" i="3"/>
  <c r="H65" i="3" s="1"/>
  <c r="F77" i="3"/>
  <c r="I77" i="3" s="1"/>
  <c r="E81" i="3"/>
  <c r="M81" i="3" s="1"/>
  <c r="F105" i="3"/>
  <c r="I105" i="3" s="1"/>
  <c r="F129" i="3"/>
  <c r="I129" i="3" s="1"/>
  <c r="C120" i="5"/>
  <c r="C67" i="5"/>
  <c r="AA118" i="3"/>
  <c r="N73" i="3"/>
  <c r="A10" i="5"/>
  <c r="N101" i="3"/>
  <c r="C91" i="5"/>
  <c r="C35" i="5"/>
  <c r="C115" i="5"/>
  <c r="B89" i="5"/>
  <c r="C59" i="5"/>
  <c r="C30" i="5"/>
  <c r="C113" i="5"/>
  <c r="C107" i="5"/>
  <c r="C83" i="5"/>
  <c r="C81" i="5"/>
  <c r="C51" i="5"/>
  <c r="C104" i="5"/>
  <c r="C46" i="5"/>
  <c r="F48" i="3"/>
  <c r="I48" i="3" s="1"/>
  <c r="E80" i="3"/>
  <c r="M80" i="3" s="1"/>
  <c r="F84" i="3"/>
  <c r="I84" i="3" s="1"/>
  <c r="F100" i="3"/>
  <c r="I100" i="3" s="1"/>
  <c r="F108" i="3"/>
  <c r="I108" i="3" s="1"/>
  <c r="F116" i="3"/>
  <c r="I116" i="3" s="1"/>
  <c r="F120" i="3"/>
  <c r="I120" i="3" s="1"/>
  <c r="F128" i="3"/>
  <c r="I128" i="3" s="1"/>
  <c r="C99" i="5"/>
  <c r="M39" i="3"/>
  <c r="O39" i="3" s="1"/>
  <c r="B33" i="5"/>
  <c r="M83" i="3"/>
  <c r="O83" i="3" s="1"/>
  <c r="B77" i="5"/>
  <c r="C110" i="5"/>
  <c r="N32" i="3"/>
  <c r="C26" i="5"/>
  <c r="C34" i="5"/>
  <c r="Z40" i="3"/>
  <c r="Z44" i="3"/>
  <c r="N44" i="3"/>
  <c r="C38" i="5"/>
  <c r="Z48" i="3"/>
  <c r="C42" i="5"/>
  <c r="N56" i="3"/>
  <c r="C50" i="5"/>
  <c r="Z60" i="3"/>
  <c r="C54" i="5"/>
  <c r="N64" i="3"/>
  <c r="C58" i="5"/>
  <c r="Z72" i="3"/>
  <c r="C66" i="5"/>
  <c r="Z76" i="3"/>
  <c r="C70" i="5"/>
  <c r="Z80" i="3"/>
  <c r="C74" i="5"/>
  <c r="N88" i="3"/>
  <c r="C82" i="5"/>
  <c r="AA92" i="3"/>
  <c r="C86" i="5"/>
  <c r="N96" i="3"/>
  <c r="C90" i="5"/>
  <c r="AA104" i="3"/>
  <c r="C98" i="5"/>
  <c r="AA108" i="3"/>
  <c r="C102" i="5"/>
  <c r="AA112" i="3"/>
  <c r="C106" i="5"/>
  <c r="AA120" i="3"/>
  <c r="C114" i="5"/>
  <c r="AA124" i="3"/>
  <c r="C118" i="5"/>
  <c r="N128" i="3"/>
  <c r="AA128" i="3"/>
  <c r="C122" i="5"/>
  <c r="N40" i="3"/>
  <c r="C78" i="5"/>
  <c r="N118" i="3"/>
  <c r="C27" i="5"/>
  <c r="C96" i="5"/>
  <c r="C80" i="5"/>
  <c r="C64" i="5"/>
  <c r="C101" i="5"/>
  <c r="C69" i="5"/>
  <c r="A1" i="4"/>
  <c r="C48" i="5"/>
  <c r="C32" i="5"/>
  <c r="C117" i="5"/>
  <c r="C85" i="5"/>
  <c r="C53" i="5"/>
  <c r="C37" i="5"/>
  <c r="F34" i="3"/>
  <c r="I34" i="3" s="1"/>
  <c r="F38" i="3"/>
  <c r="I38" i="3" s="1"/>
  <c r="E46" i="3"/>
  <c r="B40" i="5" s="1"/>
  <c r="F50" i="3"/>
  <c r="I50" i="3" s="1"/>
  <c r="E58" i="3"/>
  <c r="F62" i="3"/>
  <c r="I62" i="3" s="1"/>
  <c r="F66" i="3"/>
  <c r="I66" i="3" s="1"/>
  <c r="F70" i="3"/>
  <c r="I70" i="3" s="1"/>
  <c r="E74" i="3"/>
  <c r="B68" i="5" s="1"/>
  <c r="F106" i="3"/>
  <c r="I106" i="3" s="1"/>
  <c r="E110" i="3"/>
  <c r="M110" i="3" s="1"/>
  <c r="O110" i="3" s="1"/>
  <c r="F118" i="3"/>
  <c r="I118" i="3" s="1"/>
  <c r="E122" i="3"/>
  <c r="B116" i="5" s="1"/>
  <c r="AA101" i="3"/>
  <c r="C111" i="5"/>
  <c r="C79" i="5"/>
  <c r="B74" i="5"/>
  <c r="C63" i="5"/>
  <c r="C47" i="5"/>
  <c r="C31" i="5"/>
  <c r="C116" i="5"/>
  <c r="C100" i="5"/>
  <c r="C84" i="5"/>
  <c r="C68" i="5"/>
  <c r="C73" i="5"/>
  <c r="C57" i="5"/>
  <c r="C41" i="5"/>
  <c r="C109" i="5"/>
  <c r="C29" i="5"/>
  <c r="C93" i="5"/>
  <c r="C77" i="5"/>
  <c r="C61" i="5"/>
  <c r="C45" i="5"/>
  <c r="Z35" i="3"/>
  <c r="C72" i="5"/>
  <c r="AA106" i="3"/>
  <c r="N83" i="3"/>
  <c r="C119" i="5"/>
  <c r="C103" i="5"/>
  <c r="C87" i="5"/>
  <c r="C71" i="5"/>
  <c r="C55" i="5"/>
  <c r="C39" i="5"/>
  <c r="F68" i="3"/>
  <c r="I68" i="3" s="1"/>
  <c r="Z51" i="3"/>
  <c r="Z66" i="3"/>
  <c r="N99" i="3"/>
  <c r="C124" i="5"/>
  <c r="C108" i="5"/>
  <c r="C92" i="5"/>
  <c r="C76" i="5"/>
  <c r="C60" i="5"/>
  <c r="C44" i="5"/>
  <c r="C28" i="5"/>
  <c r="N112" i="3"/>
  <c r="AA93" i="3"/>
  <c r="N33" i="3"/>
  <c r="N120" i="3"/>
  <c r="F51" i="3"/>
  <c r="I51" i="3" s="1"/>
  <c r="F122" i="3"/>
  <c r="I122" i="3" s="1"/>
  <c r="Z69" i="3"/>
  <c r="AA96" i="3"/>
  <c r="AA123" i="3"/>
  <c r="N48" i="3"/>
  <c r="N125" i="3"/>
  <c r="F49" i="3"/>
  <c r="I49" i="3" s="1"/>
  <c r="F71" i="3"/>
  <c r="I71" i="3" s="1"/>
  <c r="Z64" i="3"/>
  <c r="N60" i="3"/>
  <c r="N129" i="3"/>
  <c r="F52" i="3"/>
  <c r="I52" i="3" s="1"/>
  <c r="A2" i="4"/>
  <c r="Z37" i="3"/>
  <c r="N14" i="3"/>
  <c r="N15" i="3" s="1"/>
  <c r="Q15" i="3" s="1"/>
  <c r="N113" i="3"/>
  <c r="F74" i="3"/>
  <c r="I74" i="3" s="1"/>
  <c r="E82" i="3"/>
  <c r="F64" i="3"/>
  <c r="I64" i="3" s="1"/>
  <c r="E68" i="3"/>
  <c r="N70" i="3"/>
  <c r="N72" i="3"/>
  <c r="Z32" i="3"/>
  <c r="AA107" i="3"/>
  <c r="N115" i="3"/>
  <c r="F54" i="3"/>
  <c r="I54" i="3" s="1"/>
  <c r="F81" i="3"/>
  <c r="I81" i="3" s="1"/>
  <c r="E108" i="3"/>
  <c r="B102" i="5" s="1"/>
  <c r="AA88" i="3"/>
  <c r="I16" i="3"/>
  <c r="Z77" i="3"/>
  <c r="N84" i="3"/>
  <c r="F39" i="3"/>
  <c r="I39" i="3" s="1"/>
  <c r="Z34" i="3"/>
  <c r="Z56" i="3"/>
  <c r="AA130" i="3"/>
  <c r="N50" i="3"/>
  <c r="N121" i="3"/>
  <c r="F61" i="3"/>
  <c r="I61" i="3" s="1"/>
  <c r="Z53" i="3"/>
  <c r="AA98" i="3"/>
  <c r="AA119" i="3"/>
  <c r="E97" i="3"/>
  <c r="N49" i="3"/>
  <c r="E55" i="3"/>
  <c r="Z45" i="3"/>
  <c r="Z67" i="3"/>
  <c r="AA90" i="3"/>
  <c r="F59" i="3"/>
  <c r="I59" i="3" s="1"/>
  <c r="E67" i="3"/>
  <c r="B61" i="5" s="1"/>
  <c r="F86" i="3"/>
  <c r="I86" i="3" s="1"/>
  <c r="E94" i="3"/>
  <c r="J94" i="3" s="1"/>
  <c r="E102" i="3"/>
  <c r="F121" i="3"/>
  <c r="I121" i="3" s="1"/>
  <c r="N97" i="3"/>
  <c r="N41" i="3"/>
  <c r="AA122" i="3"/>
  <c r="N104" i="3"/>
  <c r="Z38" i="3"/>
  <c r="Z61" i="3"/>
  <c r="Y83" i="3"/>
  <c r="Z59" i="3"/>
  <c r="AA102" i="3"/>
  <c r="AA82" i="3"/>
  <c r="F87" i="3"/>
  <c r="I87" i="3" s="1"/>
  <c r="F72" i="3"/>
  <c r="I72" i="3" s="1"/>
  <c r="F103" i="3"/>
  <c r="I103" i="3" s="1"/>
  <c r="F107" i="3"/>
  <c r="I107" i="3" s="1"/>
  <c r="E126" i="3"/>
  <c r="Y95" i="3"/>
  <c r="N108" i="3"/>
  <c r="J97" i="3"/>
  <c r="F40" i="3"/>
  <c r="I40" i="3" s="1"/>
  <c r="E40" i="3"/>
  <c r="H14" i="3"/>
  <c r="H13" i="3"/>
  <c r="H12" i="3"/>
  <c r="AA81" i="3"/>
  <c r="G12" i="3"/>
  <c r="E100" i="3"/>
  <c r="H58" i="3"/>
  <c r="Y58" i="3"/>
  <c r="Z68" i="3"/>
  <c r="F93" i="3"/>
  <c r="I93" i="3" s="1"/>
  <c r="E48" i="3"/>
  <c r="B42" i="5" s="1"/>
  <c r="Z58" i="3"/>
  <c r="N58" i="3"/>
  <c r="N100" i="3"/>
  <c r="N62" i="3"/>
  <c r="Z62" i="3"/>
  <c r="AA85" i="3"/>
  <c r="H119" i="3"/>
  <c r="M119" i="3"/>
  <c r="O119" i="3" s="1"/>
  <c r="Y119" i="3"/>
  <c r="F94" i="3"/>
  <c r="I94" i="3" s="1"/>
  <c r="I12" i="3"/>
  <c r="N55" i="3"/>
  <c r="Z55" i="3"/>
  <c r="F80" i="3"/>
  <c r="I80" i="3" s="1"/>
  <c r="N94" i="3"/>
  <c r="AA94" i="3"/>
  <c r="F119" i="3"/>
  <c r="I119" i="3" s="1"/>
  <c r="I13" i="3"/>
  <c r="AA86" i="3"/>
  <c r="F112" i="3"/>
  <c r="I112" i="3" s="1"/>
  <c r="E112" i="3"/>
  <c r="F56" i="3"/>
  <c r="I56" i="3" s="1"/>
  <c r="E56" i="3"/>
  <c r="B50" i="5" s="1"/>
  <c r="Y80" i="3"/>
  <c r="AA87" i="3"/>
  <c r="N52" i="3"/>
  <c r="N105" i="3"/>
  <c r="F65" i="3"/>
  <c r="I65" i="3" s="1"/>
  <c r="G14" i="3"/>
  <c r="E51" i="3"/>
  <c r="F90" i="3"/>
  <c r="I90" i="3" s="1"/>
  <c r="E90" i="3"/>
  <c r="B84" i="5" s="1"/>
  <c r="F97" i="3"/>
  <c r="I97" i="3" s="1"/>
  <c r="E129" i="3"/>
  <c r="B123" i="5" s="1"/>
  <c r="Z54" i="3"/>
  <c r="E41" i="3"/>
  <c r="N31" i="3"/>
  <c r="Z31" i="3"/>
  <c r="G16" i="3"/>
  <c r="I15" i="3"/>
  <c r="I14" i="3"/>
  <c r="E59" i="3"/>
  <c r="N89" i="3"/>
  <c r="E73" i="3"/>
  <c r="N65" i="3"/>
  <c r="Z42" i="3"/>
  <c r="N42" i="3"/>
  <c r="E53" i="3"/>
  <c r="B47" i="5" s="1"/>
  <c r="F53" i="3"/>
  <c r="I53" i="3" s="1"/>
  <c r="F67" i="3"/>
  <c r="I67" i="3" s="1"/>
  <c r="F102" i="3"/>
  <c r="I102" i="3" s="1"/>
  <c r="E70" i="3"/>
  <c r="B64" i="5" s="1"/>
  <c r="N95" i="3"/>
  <c r="O95" i="3" s="1"/>
  <c r="AA95" i="3"/>
  <c r="F99" i="3"/>
  <c r="I99" i="3" s="1"/>
  <c r="N80" i="3"/>
  <c r="O80" i="3" s="1"/>
  <c r="G13" i="3"/>
  <c r="J65" i="3"/>
  <c r="E62" i="3"/>
  <c r="B56" i="5" s="1"/>
  <c r="H15" i="3"/>
  <c r="H16" i="3"/>
  <c r="F46" i="3"/>
  <c r="I46" i="3" s="1"/>
  <c r="E35" i="3"/>
  <c r="AA117" i="3"/>
  <c r="N92" i="3"/>
  <c r="E106" i="3"/>
  <c r="B100" i="5" s="1"/>
  <c r="F113" i="3"/>
  <c r="I113" i="3" s="1"/>
  <c r="E113" i="3"/>
  <c r="B107" i="5" s="1"/>
  <c r="N127" i="3"/>
  <c r="AA127" i="3"/>
  <c r="Y81" i="3"/>
  <c r="AA103" i="3"/>
  <c r="H110" i="3"/>
  <c r="J110" i="3"/>
  <c r="N57" i="3"/>
  <c r="E54" i="3"/>
  <c r="N71" i="3"/>
  <c r="Z71" i="3"/>
  <c r="F110" i="3"/>
  <c r="I110" i="3" s="1"/>
  <c r="G15" i="3"/>
  <c r="N124" i="3"/>
  <c r="AA114" i="3"/>
  <c r="N36" i="3"/>
  <c r="N111" i="3"/>
  <c r="AA111" i="3"/>
  <c r="F126" i="3"/>
  <c r="I126" i="3" s="1"/>
  <c r="M65" i="3"/>
  <c r="I31" i="3"/>
  <c r="Y49" i="3"/>
  <c r="N76" i="3"/>
  <c r="F42" i="3"/>
  <c r="I42" i="3" s="1"/>
  <c r="E84" i="3"/>
  <c r="B78" i="5" s="1"/>
  <c r="N46" i="3"/>
  <c r="Z46" i="3"/>
  <c r="N39" i="3"/>
  <c r="Z39" i="3"/>
  <c r="F36" i="3"/>
  <c r="I36" i="3" s="1"/>
  <c r="F57" i="3"/>
  <c r="I57" i="3" s="1"/>
  <c r="F78" i="3"/>
  <c r="I78" i="3" s="1"/>
  <c r="F96" i="3"/>
  <c r="I96" i="3" s="1"/>
  <c r="F124" i="3"/>
  <c r="I124" i="3" s="1"/>
  <c r="N68" i="3"/>
  <c r="N81" i="3"/>
  <c r="O81" i="3" s="1"/>
  <c r="B82" i="4"/>
  <c r="C82" i="4" s="1"/>
  <c r="D82" i="4" s="1"/>
  <c r="E82" i="4" s="1"/>
  <c r="F82" i="4" s="1"/>
  <c r="G82" i="4" s="1"/>
  <c r="H82" i="4" s="1"/>
  <c r="I82" i="4" s="1"/>
  <c r="J82" i="4" s="1"/>
  <c r="K82" i="4" s="1"/>
  <c r="L82" i="4" s="1"/>
  <c r="M82" i="4" s="1"/>
  <c r="N82" i="4" s="1"/>
  <c r="F58" i="3"/>
  <c r="I58" i="3" s="1"/>
  <c r="J103" i="3"/>
  <c r="F109" i="3"/>
  <c r="I109" i="3" s="1"/>
  <c r="E125" i="3"/>
  <c r="Y39" i="3"/>
  <c r="Y103" i="3"/>
  <c r="N74" i="3"/>
  <c r="F32" i="3"/>
  <c r="E77" i="3"/>
  <c r="E87" i="3"/>
  <c r="B81" i="5" s="1"/>
  <c r="J106" i="3"/>
  <c r="E115" i="3"/>
  <c r="H115" i="3" s="1"/>
  <c r="E116" i="3"/>
  <c r="Z78" i="3"/>
  <c r="E37" i="3"/>
  <c r="F43" i="3"/>
  <c r="I43" i="3" s="1"/>
  <c r="E69" i="3"/>
  <c r="B63" i="5" s="1"/>
  <c r="F123" i="3"/>
  <c r="I123" i="3" s="1"/>
  <c r="AA110" i="3"/>
  <c r="AA126" i="3"/>
  <c r="E31" i="3"/>
  <c r="B25" i="5" s="1"/>
  <c r="F37" i="3"/>
  <c r="I37" i="3" s="1"/>
  <c r="F69" i="3"/>
  <c r="I69" i="3" s="1"/>
  <c r="E72" i="3"/>
  <c r="B66" i="5" s="1"/>
  <c r="F75" i="3"/>
  <c r="I75" i="3" s="1"/>
  <c r="Z47" i="3"/>
  <c r="Z63" i="3"/>
  <c r="Z79" i="3"/>
  <c r="AA116" i="3"/>
  <c r="M103" i="3"/>
  <c r="O103" i="3" s="1"/>
  <c r="F89" i="3"/>
  <c r="I89" i="3" s="1"/>
  <c r="F92" i="3"/>
  <c r="I92" i="3" s="1"/>
  <c r="F98" i="3"/>
  <c r="I98" i="3" s="1"/>
  <c r="F111" i="3"/>
  <c r="I111" i="3" s="1"/>
  <c r="F127" i="3"/>
  <c r="I127" i="3" s="1"/>
  <c r="J95" i="3"/>
  <c r="H95" i="3"/>
  <c r="J108" i="3"/>
  <c r="H108" i="3"/>
  <c r="J83" i="3"/>
  <c r="H83" i="3"/>
  <c r="E98" i="3"/>
  <c r="B92" i="5" s="1"/>
  <c r="E93" i="3"/>
  <c r="B87" i="5" s="1"/>
  <c r="E121" i="3"/>
  <c r="B115" i="5" s="1"/>
  <c r="E127" i="3"/>
  <c r="B121" i="5" s="1"/>
  <c r="F83" i="3"/>
  <c r="I83" i="3" s="1"/>
  <c r="E105" i="3"/>
  <c r="B99" i="5" s="1"/>
  <c r="E99" i="3"/>
  <c r="B93" i="5" s="1"/>
  <c r="F95" i="3"/>
  <c r="I95" i="3" s="1"/>
  <c r="H103" i="3"/>
  <c r="F115" i="3"/>
  <c r="I115" i="3" s="1"/>
  <c r="J119" i="3"/>
  <c r="E128" i="3"/>
  <c r="B122" i="5" s="1"/>
  <c r="F125" i="3"/>
  <c r="I125" i="3" s="1"/>
  <c r="E89" i="3"/>
  <c r="B83" i="5" s="1"/>
  <c r="E114" i="3"/>
  <c r="B108" i="5" s="1"/>
  <c r="F114" i="3"/>
  <c r="I114" i="3" s="1"/>
  <c r="E85" i="3"/>
  <c r="B79" i="5" s="1"/>
  <c r="F85" i="3"/>
  <c r="I85" i="3" s="1"/>
  <c r="E109" i="3"/>
  <c r="B103" i="5" s="1"/>
  <c r="F117" i="3"/>
  <c r="I117" i="3" s="1"/>
  <c r="E117" i="3"/>
  <c r="B111" i="5" s="1"/>
  <c r="F101" i="3"/>
  <c r="I101" i="3" s="1"/>
  <c r="E101" i="3"/>
  <c r="B95" i="5" s="1"/>
  <c r="E111" i="3"/>
  <c r="B105" i="5" s="1"/>
  <c r="E86" i="3"/>
  <c r="B80" i="5" s="1"/>
  <c r="F88" i="3"/>
  <c r="I88" i="3" s="1"/>
  <c r="E88" i="3"/>
  <c r="B82" i="5" s="1"/>
  <c r="E124" i="3"/>
  <c r="B118" i="5" s="1"/>
  <c r="E130" i="3"/>
  <c r="B124" i="5" s="1"/>
  <c r="F130" i="3"/>
  <c r="I130" i="3" s="1"/>
  <c r="E92" i="3"/>
  <c r="B86" i="5" s="1"/>
  <c r="E96" i="3"/>
  <c r="B90" i="5" s="1"/>
  <c r="E118" i="3"/>
  <c r="B112" i="5" s="1"/>
  <c r="F82" i="3"/>
  <c r="I82" i="3" s="1"/>
  <c r="F104" i="3"/>
  <c r="I104" i="3" s="1"/>
  <c r="E104" i="3"/>
  <c r="B98" i="5" s="1"/>
  <c r="E120" i="3"/>
  <c r="B114" i="5" s="1"/>
  <c r="E91" i="3"/>
  <c r="B85" i="5" s="1"/>
  <c r="E107" i="3"/>
  <c r="B101" i="5" s="1"/>
  <c r="E123" i="3"/>
  <c r="B117" i="5" s="1"/>
  <c r="H39" i="3"/>
  <c r="J39" i="3"/>
  <c r="E42" i="3"/>
  <c r="B36" i="5" s="1"/>
  <c r="E43" i="3"/>
  <c r="B37" i="5" s="1"/>
  <c r="J58" i="3"/>
  <c r="E52" i="3"/>
  <c r="B46" i="5" s="1"/>
  <c r="F76" i="3"/>
  <c r="I76" i="3" s="1"/>
  <c r="E76" i="3"/>
  <c r="B70" i="5" s="1"/>
  <c r="E33" i="3"/>
  <c r="B27" i="5" s="1"/>
  <c r="E38" i="3"/>
  <c r="B32" i="5" s="1"/>
  <c r="H48" i="3"/>
  <c r="E71" i="3"/>
  <c r="B65" i="5" s="1"/>
  <c r="E78" i="3"/>
  <c r="B72" i="5" s="1"/>
  <c r="E45" i="3"/>
  <c r="B39" i="5" s="1"/>
  <c r="E57" i="3"/>
  <c r="B51" i="5" s="1"/>
  <c r="E64" i="3"/>
  <c r="B58" i="5" s="1"/>
  <c r="F47" i="3"/>
  <c r="I47" i="3" s="1"/>
  <c r="E47" i="3"/>
  <c r="B41" i="5" s="1"/>
  <c r="F73" i="3"/>
  <c r="I73" i="3" s="1"/>
  <c r="E61" i="3"/>
  <c r="B55" i="5" s="1"/>
  <c r="F79" i="3"/>
  <c r="I79" i="3" s="1"/>
  <c r="E79" i="3"/>
  <c r="B73" i="5" s="1"/>
  <c r="F63" i="3"/>
  <c r="I63" i="3" s="1"/>
  <c r="E63" i="3"/>
  <c r="B57" i="5" s="1"/>
  <c r="E75" i="3"/>
  <c r="B69" i="5" s="1"/>
  <c r="F44" i="3"/>
  <c r="I44" i="3" s="1"/>
  <c r="E44" i="3"/>
  <c r="B38" i="5" s="1"/>
  <c r="J80" i="3"/>
  <c r="H80" i="3"/>
  <c r="E32" i="3"/>
  <c r="B26" i="5" s="1"/>
  <c r="F60" i="3"/>
  <c r="I60" i="3" s="1"/>
  <c r="E60" i="3"/>
  <c r="B54" i="5" s="1"/>
  <c r="E36" i="3"/>
  <c r="B30" i="5" s="1"/>
  <c r="E34" i="3"/>
  <c r="B28" i="5" s="1"/>
  <c r="E50" i="3"/>
  <c r="B44" i="5" s="1"/>
  <c r="E66" i="3"/>
  <c r="B60" i="5" s="1"/>
  <c r="H67" i="3" l="1"/>
  <c r="J46" i="3"/>
  <c r="H81" i="3"/>
  <c r="B59" i="5"/>
  <c r="J81" i="3"/>
  <c r="H70" i="3"/>
  <c r="N16" i="3"/>
  <c r="Y65" i="3"/>
  <c r="Y122" i="3"/>
  <c r="M49" i="3"/>
  <c r="O49" i="3" s="1"/>
  <c r="J70" i="3"/>
  <c r="H122" i="3"/>
  <c r="H49" i="3"/>
  <c r="A11" i="5"/>
  <c r="J67" i="3"/>
  <c r="H62" i="3"/>
  <c r="Y46" i="3"/>
  <c r="B43" i="5"/>
  <c r="M46" i="3"/>
  <c r="O46" i="3" s="1"/>
  <c r="H46" i="3"/>
  <c r="B75" i="5"/>
  <c r="Y68" i="3"/>
  <c r="B62" i="5"/>
  <c r="J40" i="3"/>
  <c r="B34" i="5"/>
  <c r="J54" i="3"/>
  <c r="B48" i="5"/>
  <c r="M74" i="3"/>
  <c r="O74" i="3" s="1"/>
  <c r="M55" i="3"/>
  <c r="B49" i="5"/>
  <c r="H37" i="3"/>
  <c r="B31" i="5"/>
  <c r="H73" i="3"/>
  <c r="B67" i="5"/>
  <c r="Y74" i="3"/>
  <c r="Y110" i="3"/>
  <c r="B104" i="5"/>
  <c r="H68" i="3"/>
  <c r="J74" i="3"/>
  <c r="H97" i="3"/>
  <c r="B91" i="5"/>
  <c r="J55" i="3"/>
  <c r="J77" i="3"/>
  <c r="B71" i="5"/>
  <c r="H100" i="3"/>
  <c r="B94" i="5"/>
  <c r="J100" i="3"/>
  <c r="Y126" i="3"/>
  <c r="B120" i="5"/>
  <c r="M102" i="3"/>
  <c r="O102" i="3" s="1"/>
  <c r="B96" i="5"/>
  <c r="Y94" i="3"/>
  <c r="B88" i="5"/>
  <c r="M122" i="3"/>
  <c r="O122" i="3" s="1"/>
  <c r="H35" i="3"/>
  <c r="B29" i="5"/>
  <c r="R86" i="5" s="1" a="1"/>
  <c r="R86" i="5" s="1"/>
  <c r="Y82" i="3"/>
  <c r="B76" i="5"/>
  <c r="R76" i="5" s="1" a="1"/>
  <c r="R76" i="5" s="1"/>
  <c r="J116" i="3"/>
  <c r="B110" i="5"/>
  <c r="J59" i="3"/>
  <c r="B53" i="5"/>
  <c r="H51" i="3"/>
  <c r="B45" i="5"/>
  <c r="R105" i="5" s="1" a="1"/>
  <c r="R105" i="5" s="1"/>
  <c r="H82" i="3"/>
  <c r="M58" i="3"/>
  <c r="O58" i="3" s="1"/>
  <c r="B52" i="5"/>
  <c r="R45" i="5" s="1" a="1"/>
  <c r="R45" i="5" s="1"/>
  <c r="Q14" i="3"/>
  <c r="J122" i="3"/>
  <c r="J125" i="3"/>
  <c r="B119" i="5"/>
  <c r="J112" i="3"/>
  <c r="B106" i="5"/>
  <c r="J115" i="3"/>
  <c r="B109" i="5"/>
  <c r="H59" i="3"/>
  <c r="H74" i="3"/>
  <c r="J41" i="3"/>
  <c r="B35" i="5"/>
  <c r="R100" i="5" a="1"/>
  <c r="R100" i="5" s="1"/>
  <c r="R68" i="5" a="1"/>
  <c r="R68" i="5" s="1"/>
  <c r="J35" i="3"/>
  <c r="M94" i="3"/>
  <c r="O94" i="3" s="1"/>
  <c r="H94" i="3"/>
  <c r="J82" i="3"/>
  <c r="M68" i="3"/>
  <c r="O68" i="3" s="1"/>
  <c r="Y97" i="3"/>
  <c r="H54" i="3"/>
  <c r="M97" i="3"/>
  <c r="O97" i="3" s="1"/>
  <c r="O55" i="3"/>
  <c r="J68" i="3"/>
  <c r="H112" i="3"/>
  <c r="Y55" i="3"/>
  <c r="P15" i="3"/>
  <c r="H126" i="3"/>
  <c r="H102" i="3"/>
  <c r="J102" i="3"/>
  <c r="H55" i="3"/>
  <c r="M82" i="3"/>
  <c r="O82" i="3" s="1"/>
  <c r="J73" i="3"/>
  <c r="Y102" i="3"/>
  <c r="C17" i="3"/>
  <c r="M108" i="3"/>
  <c r="O108" i="3" s="1"/>
  <c r="Y108" i="3"/>
  <c r="H77" i="3"/>
  <c r="D18" i="3"/>
  <c r="M126" i="3"/>
  <c r="O126" i="3" s="1"/>
  <c r="O14" i="3"/>
  <c r="J126" i="3"/>
  <c r="M67" i="3"/>
  <c r="O67" i="3" s="1"/>
  <c r="Y67" i="3"/>
  <c r="Y50" i="3"/>
  <c r="M50" i="3"/>
  <c r="O50" i="3" s="1"/>
  <c r="C12" i="3"/>
  <c r="Y109" i="3"/>
  <c r="M109" i="3"/>
  <c r="O109" i="3" s="1"/>
  <c r="M71" i="3"/>
  <c r="O71" i="3" s="1"/>
  <c r="Y71" i="3"/>
  <c r="M63" i="3"/>
  <c r="O63" i="3" s="1"/>
  <c r="Y63" i="3"/>
  <c r="Y93" i="3"/>
  <c r="M93" i="3"/>
  <c r="O93" i="3" s="1"/>
  <c r="M60" i="3"/>
  <c r="O60" i="3" s="1"/>
  <c r="Y60" i="3"/>
  <c r="Y34" i="3"/>
  <c r="M34" i="3"/>
  <c r="O34" i="3" s="1"/>
  <c r="M78" i="3"/>
  <c r="O78" i="3" s="1"/>
  <c r="Y78" i="3"/>
  <c r="Y104" i="3"/>
  <c r="M104" i="3"/>
  <c r="O104" i="3" s="1"/>
  <c r="J69" i="3"/>
  <c r="Y69" i="3"/>
  <c r="H69" i="3"/>
  <c r="M69" i="3"/>
  <c r="O69" i="3" s="1"/>
  <c r="M118" i="3"/>
  <c r="O118" i="3" s="1"/>
  <c r="Y118" i="3"/>
  <c r="B20" i="3"/>
  <c r="M96" i="3"/>
  <c r="O96" i="3" s="1"/>
  <c r="Y96" i="3"/>
  <c r="J37" i="3"/>
  <c r="Y37" i="3"/>
  <c r="M37" i="3"/>
  <c r="O37" i="3" s="1"/>
  <c r="Y84" i="3"/>
  <c r="J84" i="3"/>
  <c r="M84" i="3"/>
  <c r="O84" i="3" s="1"/>
  <c r="H84" i="3"/>
  <c r="C16" i="3"/>
  <c r="M79" i="3"/>
  <c r="O79" i="3" s="1"/>
  <c r="Y79" i="3"/>
  <c r="J62" i="3"/>
  <c r="M62" i="3"/>
  <c r="O62" i="3" s="1"/>
  <c r="Y62" i="3"/>
  <c r="C20" i="3"/>
  <c r="M99" i="3"/>
  <c r="O99" i="3" s="1"/>
  <c r="Y99" i="3"/>
  <c r="Y98" i="3"/>
  <c r="M98" i="3"/>
  <c r="O98" i="3" s="1"/>
  <c r="J56" i="3"/>
  <c r="M56" i="3"/>
  <c r="O56" i="3" s="1"/>
  <c r="Y56" i="3"/>
  <c r="Y130" i="3"/>
  <c r="M130" i="3"/>
  <c r="O130" i="3" s="1"/>
  <c r="H17" i="3"/>
  <c r="Y57" i="3"/>
  <c r="M57" i="3"/>
  <c r="O57" i="3" s="1"/>
  <c r="Y42" i="3"/>
  <c r="M42" i="3"/>
  <c r="O42" i="3" s="1"/>
  <c r="Y85" i="3"/>
  <c r="M85" i="3"/>
  <c r="O85" i="3" s="1"/>
  <c r="C24" i="3"/>
  <c r="Y92" i="3"/>
  <c r="M92" i="3"/>
  <c r="O92" i="3" s="1"/>
  <c r="M115" i="3"/>
  <c r="O115" i="3" s="1"/>
  <c r="Y115" i="3"/>
  <c r="D20" i="3"/>
  <c r="H87" i="3"/>
  <c r="M87" i="3"/>
  <c r="O87" i="3" s="1"/>
  <c r="Y87" i="3"/>
  <c r="C23" i="3"/>
  <c r="Y106" i="3"/>
  <c r="M106" i="3"/>
  <c r="O106" i="3" s="1"/>
  <c r="H106" i="3"/>
  <c r="H90" i="3"/>
  <c r="Y90" i="3"/>
  <c r="M90" i="3"/>
  <c r="O90" i="3" s="1"/>
  <c r="J90" i="3"/>
  <c r="Y66" i="3"/>
  <c r="M66" i="3"/>
  <c r="O66" i="3" s="1"/>
  <c r="M91" i="3"/>
  <c r="O91" i="3" s="1"/>
  <c r="Y91" i="3"/>
  <c r="Y45" i="3"/>
  <c r="M45" i="3"/>
  <c r="O45" i="3" s="1"/>
  <c r="M120" i="3"/>
  <c r="O120" i="3" s="1"/>
  <c r="Y120" i="3"/>
  <c r="Y105" i="3"/>
  <c r="M105" i="3"/>
  <c r="O105" i="3" s="1"/>
  <c r="M125" i="3"/>
  <c r="O125" i="3" s="1"/>
  <c r="Y125" i="3"/>
  <c r="P12" i="3"/>
  <c r="M127" i="3"/>
  <c r="O127" i="3" s="1"/>
  <c r="Y127" i="3"/>
  <c r="O82" i="4"/>
  <c r="O93" i="4" s="1"/>
  <c r="N93" i="4"/>
  <c r="D19" i="3"/>
  <c r="M38" i="3"/>
  <c r="O38" i="3" s="1"/>
  <c r="Y38" i="3"/>
  <c r="Y114" i="3"/>
  <c r="M114" i="3"/>
  <c r="O114" i="3" s="1"/>
  <c r="Y73" i="3"/>
  <c r="M73" i="3"/>
  <c r="O73" i="3" s="1"/>
  <c r="Y89" i="3"/>
  <c r="M89" i="3"/>
  <c r="O89" i="3" s="1"/>
  <c r="C18" i="3"/>
  <c r="M61" i="3"/>
  <c r="O61" i="3" s="1"/>
  <c r="Y61" i="3"/>
  <c r="P13" i="3"/>
  <c r="H113" i="3"/>
  <c r="J113" i="3"/>
  <c r="M113" i="3"/>
  <c r="O113" i="3" s="1"/>
  <c r="Y113" i="3"/>
  <c r="M124" i="3"/>
  <c r="O124" i="3" s="1"/>
  <c r="Y124" i="3"/>
  <c r="G17" i="3"/>
  <c r="Y52" i="3"/>
  <c r="M52" i="3"/>
  <c r="O52" i="3" s="1"/>
  <c r="Y88" i="3"/>
  <c r="M88" i="3"/>
  <c r="O88" i="3" s="1"/>
  <c r="J72" i="3"/>
  <c r="H72" i="3"/>
  <c r="M72" i="3"/>
  <c r="O72" i="3" s="1"/>
  <c r="Y72" i="3"/>
  <c r="P14" i="3"/>
  <c r="Y77" i="3"/>
  <c r="M77" i="3"/>
  <c r="O77" i="3" s="1"/>
  <c r="M47" i="3"/>
  <c r="O47" i="3" s="1"/>
  <c r="Y47" i="3"/>
  <c r="M86" i="3"/>
  <c r="O86" i="3" s="1"/>
  <c r="Y86" i="3"/>
  <c r="I32" i="3"/>
  <c r="B18" i="3"/>
  <c r="B19" i="3"/>
  <c r="O65" i="3"/>
  <c r="M51" i="3"/>
  <c r="O51" i="3" s="1"/>
  <c r="Y51" i="3"/>
  <c r="M43" i="3"/>
  <c r="O43" i="3" s="1"/>
  <c r="Y43" i="3"/>
  <c r="H41" i="3"/>
  <c r="Y41" i="3"/>
  <c r="M41" i="3"/>
  <c r="O41" i="3" s="1"/>
  <c r="Y117" i="3"/>
  <c r="M117" i="3"/>
  <c r="O117" i="3" s="1"/>
  <c r="Y44" i="3"/>
  <c r="M44" i="3"/>
  <c r="O44" i="3" s="1"/>
  <c r="C21" i="3"/>
  <c r="J129" i="3"/>
  <c r="H129" i="3"/>
  <c r="Y129" i="3"/>
  <c r="M129" i="3"/>
  <c r="O129" i="3" s="1"/>
  <c r="Y36" i="3"/>
  <c r="M36" i="3"/>
  <c r="O36" i="3" s="1"/>
  <c r="H53" i="3"/>
  <c r="Y53" i="3"/>
  <c r="M53" i="3"/>
  <c r="O53" i="3" s="1"/>
  <c r="M75" i="3"/>
  <c r="O75" i="3" s="1"/>
  <c r="Y75" i="3"/>
  <c r="Y121" i="3"/>
  <c r="M121" i="3"/>
  <c r="O121" i="3" s="1"/>
  <c r="H125" i="3"/>
  <c r="Y100" i="3"/>
  <c r="M100" i="3"/>
  <c r="O100" i="3" s="1"/>
  <c r="H56" i="3"/>
  <c r="M33" i="3"/>
  <c r="O33" i="3" s="1"/>
  <c r="Y33" i="3"/>
  <c r="H116" i="3"/>
  <c r="Y116" i="3"/>
  <c r="M116" i="3"/>
  <c r="O116" i="3" s="1"/>
  <c r="Y112" i="3"/>
  <c r="M112" i="3"/>
  <c r="O112" i="3" s="1"/>
  <c r="M32" i="3"/>
  <c r="O32" i="3" s="1"/>
  <c r="Y32" i="3"/>
  <c r="M76" i="3"/>
  <c r="O76" i="3" s="1"/>
  <c r="Y76" i="3"/>
  <c r="C19" i="3"/>
  <c r="M128" i="3"/>
  <c r="O128" i="3" s="1"/>
  <c r="Y128" i="3"/>
  <c r="O13" i="3"/>
  <c r="C13" i="3"/>
  <c r="M59" i="3"/>
  <c r="O59" i="3" s="1"/>
  <c r="Y59" i="3"/>
  <c r="C15" i="3"/>
  <c r="I17" i="3"/>
  <c r="H40" i="3"/>
  <c r="Y40" i="3"/>
  <c r="M40" i="3"/>
  <c r="O40" i="3" s="1"/>
  <c r="J53" i="3"/>
  <c r="M123" i="3"/>
  <c r="O123" i="3" s="1"/>
  <c r="Y123" i="3"/>
  <c r="Y111" i="3"/>
  <c r="M111" i="3"/>
  <c r="O111" i="3" s="1"/>
  <c r="O15" i="3"/>
  <c r="M54" i="3"/>
  <c r="O54" i="3" s="1"/>
  <c r="Y54" i="3"/>
  <c r="J48" i="3"/>
  <c r="Y48" i="3"/>
  <c r="M48" i="3"/>
  <c r="O48" i="3" s="1"/>
  <c r="J51" i="3"/>
  <c r="Y64" i="3"/>
  <c r="M64" i="3"/>
  <c r="O64" i="3" s="1"/>
  <c r="M107" i="3"/>
  <c r="O107" i="3" s="1"/>
  <c r="Y107" i="3"/>
  <c r="Y101" i="3"/>
  <c r="M101" i="3"/>
  <c r="O101" i="3" s="1"/>
  <c r="J87" i="3"/>
  <c r="D16" i="3"/>
  <c r="Y31" i="3"/>
  <c r="D14" i="3"/>
  <c r="M31" i="3"/>
  <c r="O31" i="3" s="1"/>
  <c r="D15" i="3"/>
  <c r="B24" i="3"/>
  <c r="B23" i="3"/>
  <c r="A83" i="4"/>
  <c r="D13" i="3"/>
  <c r="B21" i="3"/>
  <c r="D12" i="3"/>
  <c r="D24" i="3"/>
  <c r="B15" i="3"/>
  <c r="D23" i="3"/>
  <c r="B14" i="3"/>
  <c r="B16" i="3"/>
  <c r="D17" i="3"/>
  <c r="J31" i="3"/>
  <c r="B17" i="3"/>
  <c r="B13" i="3"/>
  <c r="H31" i="3"/>
  <c r="D21" i="3"/>
  <c r="B12" i="3"/>
  <c r="O12" i="3"/>
  <c r="M35" i="3"/>
  <c r="O35" i="3" s="1"/>
  <c r="Y35" i="3"/>
  <c r="M70" i="3"/>
  <c r="O70" i="3" s="1"/>
  <c r="Y70" i="3"/>
  <c r="C14" i="3"/>
  <c r="Q16" i="3"/>
  <c r="O16" i="3"/>
  <c r="N17" i="3"/>
  <c r="P16" i="3"/>
  <c r="J118" i="3"/>
  <c r="H118" i="3"/>
  <c r="J85" i="3"/>
  <c r="H85" i="3"/>
  <c r="H93" i="3"/>
  <c r="J93" i="3"/>
  <c r="J96" i="3"/>
  <c r="H96" i="3"/>
  <c r="J98" i="3"/>
  <c r="H98" i="3"/>
  <c r="J92" i="3"/>
  <c r="H92" i="3"/>
  <c r="J114" i="3"/>
  <c r="H114" i="3"/>
  <c r="J89" i="3"/>
  <c r="H89" i="3"/>
  <c r="J130" i="3"/>
  <c r="H130" i="3"/>
  <c r="J88" i="3"/>
  <c r="H88" i="3"/>
  <c r="H123" i="3"/>
  <c r="J123" i="3"/>
  <c r="J111" i="3"/>
  <c r="H111" i="3"/>
  <c r="H107" i="3"/>
  <c r="J107" i="3"/>
  <c r="J101" i="3"/>
  <c r="H101" i="3"/>
  <c r="J127" i="3"/>
  <c r="H127" i="3"/>
  <c r="J124" i="3"/>
  <c r="H124" i="3"/>
  <c r="H128" i="3"/>
  <c r="J128" i="3"/>
  <c r="J86" i="3"/>
  <c r="H86" i="3"/>
  <c r="H91" i="3"/>
  <c r="J91" i="3"/>
  <c r="J99" i="3"/>
  <c r="H99" i="3"/>
  <c r="J120" i="3"/>
  <c r="H120" i="3"/>
  <c r="J117" i="3"/>
  <c r="H117" i="3"/>
  <c r="J105" i="3"/>
  <c r="H105" i="3"/>
  <c r="J104" i="3"/>
  <c r="H104" i="3"/>
  <c r="J109" i="3"/>
  <c r="H109" i="3"/>
  <c r="H121" i="3"/>
  <c r="J121" i="3"/>
  <c r="J64" i="3"/>
  <c r="H64" i="3"/>
  <c r="H66" i="3"/>
  <c r="J66" i="3"/>
  <c r="H57" i="3"/>
  <c r="J57" i="3"/>
  <c r="J43" i="3"/>
  <c r="H43" i="3"/>
  <c r="J50" i="3"/>
  <c r="H50" i="3"/>
  <c r="J45" i="3"/>
  <c r="H45" i="3"/>
  <c r="H34" i="3"/>
  <c r="J34" i="3"/>
  <c r="H44" i="3"/>
  <c r="J44" i="3"/>
  <c r="J78" i="3"/>
  <c r="H78" i="3"/>
  <c r="J42" i="3"/>
  <c r="H42" i="3"/>
  <c r="J36" i="3"/>
  <c r="H36" i="3"/>
  <c r="J75" i="3"/>
  <c r="H75" i="3"/>
  <c r="J71" i="3"/>
  <c r="H71" i="3"/>
  <c r="J63" i="3"/>
  <c r="H63" i="3"/>
  <c r="H60" i="3"/>
  <c r="J60" i="3"/>
  <c r="J79" i="3"/>
  <c r="H79" i="3"/>
  <c r="J38" i="3"/>
  <c r="H38" i="3"/>
  <c r="H33" i="3"/>
  <c r="J33" i="3"/>
  <c r="J32" i="3"/>
  <c r="H32" i="3"/>
  <c r="J61" i="3"/>
  <c r="H61" i="3"/>
  <c r="H76" i="3"/>
  <c r="J76" i="3"/>
  <c r="H52" i="3"/>
  <c r="J52" i="3"/>
  <c r="H47" i="3"/>
  <c r="J47" i="3"/>
  <c r="R110" i="5" l="1" a="1"/>
  <c r="R110" i="5" s="1"/>
  <c r="R48" i="5" a="1"/>
  <c r="R48" i="5" s="1"/>
  <c r="R91" i="5" a="1"/>
  <c r="R91" i="5" s="1"/>
  <c r="A12" i="5"/>
  <c r="R106" i="5" a="1"/>
  <c r="R106" i="5" s="1"/>
  <c r="R28" i="5" a="1"/>
  <c r="R28" i="5" s="1"/>
  <c r="R92" i="5" a="1"/>
  <c r="R92" i="5" s="1"/>
  <c r="R39" i="5" a="1"/>
  <c r="R39" i="5" s="1"/>
  <c r="D22" i="3"/>
  <c r="R82" i="5" a="1"/>
  <c r="R82" i="5" s="1"/>
  <c r="R67" i="5" a="1"/>
  <c r="R67" i="5" s="1"/>
  <c r="R120" i="5" a="1"/>
  <c r="R120" i="5" s="1"/>
  <c r="R103" i="5" a="1"/>
  <c r="R103" i="5" s="1"/>
  <c r="R71" i="5" a="1"/>
  <c r="R71" i="5" s="1"/>
  <c r="R77" i="5" a="1"/>
  <c r="R77" i="5" s="1"/>
  <c r="R89" i="5" a="1"/>
  <c r="R89" i="5" s="1"/>
  <c r="R52" i="5" a="1"/>
  <c r="R52" i="5" s="1"/>
  <c r="R25" i="5" a="1"/>
  <c r="R25" i="5" s="1"/>
  <c r="R79" i="5" a="1"/>
  <c r="R79" i="5" s="1"/>
  <c r="R26" i="5" a="1"/>
  <c r="R26" i="5" s="1"/>
  <c r="R46" i="5" a="1"/>
  <c r="R46" i="5" s="1"/>
  <c r="R93" i="5" a="1"/>
  <c r="R93" i="5" s="1"/>
  <c r="R124" i="5" a="1"/>
  <c r="R124" i="5" s="1"/>
  <c r="R109" i="5" a="1"/>
  <c r="R109" i="5" s="1"/>
  <c r="R38" i="5" a="1"/>
  <c r="R38" i="5" s="1"/>
  <c r="R83" i="5" a="1"/>
  <c r="R83" i="5" s="1"/>
  <c r="R50" i="5" a="1"/>
  <c r="R50" i="5" s="1"/>
  <c r="R113" i="5" a="1"/>
  <c r="R113" i="5" s="1"/>
  <c r="R66" i="5" a="1"/>
  <c r="R66" i="5" s="1"/>
  <c r="R97" i="5" a="1"/>
  <c r="R97" i="5" s="1"/>
  <c r="R57" i="5" a="1"/>
  <c r="R57" i="5" s="1"/>
  <c r="R54" i="5" a="1"/>
  <c r="R54" i="5" s="1"/>
  <c r="R73" i="5" a="1"/>
  <c r="R73" i="5" s="1"/>
  <c r="R104" i="5" a="1"/>
  <c r="R104" i="5" s="1"/>
  <c r="R51" i="5" a="1"/>
  <c r="R51" i="5" s="1"/>
  <c r="R33" i="5" a="1"/>
  <c r="R33" i="5" s="1"/>
  <c r="R122" i="5" a="1"/>
  <c r="R122" i="5" s="1"/>
  <c r="R107" i="5" a="1"/>
  <c r="R107" i="5" s="1"/>
  <c r="R70" i="5" a="1"/>
  <c r="R70" i="5" s="1"/>
  <c r="R115" i="5" a="1"/>
  <c r="R115" i="5" s="1"/>
  <c r="R101" i="5" a="1"/>
  <c r="R101" i="5" s="1"/>
  <c r="R121" i="5" a="1"/>
  <c r="R121" i="5" s="1"/>
  <c r="R87" i="5" a="1"/>
  <c r="R87" i="5" s="1"/>
  <c r="R116" i="5" a="1"/>
  <c r="R116" i="5" s="1"/>
  <c r="R90" i="5" a="1"/>
  <c r="R90" i="5" s="1"/>
  <c r="R99" i="5" a="1"/>
  <c r="R99" i="5" s="1"/>
  <c r="R75" i="5" a="1"/>
  <c r="R75" i="5" s="1"/>
  <c r="R34" i="5" a="1"/>
  <c r="R34" i="5" s="1"/>
  <c r="R81" i="5" a="1"/>
  <c r="R81" i="5" s="1"/>
  <c r="R56" i="5" a="1"/>
  <c r="R56" i="5" s="1"/>
  <c r="R88" i="5" a="1"/>
  <c r="R88" i="5" s="1"/>
  <c r="R64" i="5" a="1"/>
  <c r="R64" i="5" s="1"/>
  <c r="R63" i="5" a="1"/>
  <c r="R63" i="5" s="1"/>
  <c r="R44" i="5" a="1"/>
  <c r="R44" i="5" s="1"/>
  <c r="R65" i="5" a="1"/>
  <c r="R65" i="5" s="1"/>
  <c r="R40" i="5" a="1"/>
  <c r="R40" i="5" s="1"/>
  <c r="R59" i="5" a="1"/>
  <c r="R59" i="5" s="1"/>
  <c r="R27" i="5" a="1"/>
  <c r="R27" i="5" s="1"/>
  <c r="R35" i="5" a="1"/>
  <c r="R35" i="5" s="1"/>
  <c r="R85" i="5" a="1"/>
  <c r="R85" i="5" s="1"/>
  <c r="R29" i="5" a="1"/>
  <c r="R29" i="5" s="1"/>
  <c r="R112" i="5" a="1"/>
  <c r="R112" i="5" s="1"/>
  <c r="R47" i="5" a="1"/>
  <c r="R47" i="5" s="1"/>
  <c r="R118" i="5" a="1"/>
  <c r="R118" i="5" s="1"/>
  <c r="R36" i="5" a="1"/>
  <c r="R36" i="5" s="1"/>
  <c r="R43" i="5" a="1"/>
  <c r="R43" i="5" s="1"/>
  <c r="R78" i="5" a="1"/>
  <c r="R78" i="5" s="1"/>
  <c r="R74" i="5" a="1"/>
  <c r="R74" i="5" s="1"/>
  <c r="R123" i="5" a="1"/>
  <c r="R123" i="5" s="1"/>
  <c r="R95" i="5" a="1"/>
  <c r="R95" i="5" s="1"/>
  <c r="R49" i="5" a="1"/>
  <c r="R49" i="5" s="1"/>
  <c r="R37" i="5" a="1"/>
  <c r="R37" i="5" s="1"/>
  <c r="R41" i="5" a="1"/>
  <c r="R41" i="5" s="1"/>
  <c r="R55" i="5" a="1"/>
  <c r="R55" i="5" s="1"/>
  <c r="R117" i="5" a="1"/>
  <c r="R117" i="5" s="1"/>
  <c r="R62" i="5" a="1"/>
  <c r="R62" i="5" s="1"/>
  <c r="R114" i="5" a="1"/>
  <c r="R114" i="5" s="1"/>
  <c r="R31" i="5" a="1"/>
  <c r="R31" i="5" s="1"/>
  <c r="R98" i="5" a="1"/>
  <c r="R98" i="5" s="1"/>
  <c r="R111" i="5" a="1"/>
  <c r="R111" i="5" s="1"/>
  <c r="P80" i="3"/>
  <c r="R72" i="5" a="1"/>
  <c r="R72" i="5" s="1"/>
  <c r="R94" i="5" a="1"/>
  <c r="R94" i="5" s="1"/>
  <c r="R61" i="5" a="1"/>
  <c r="R61" i="5" s="1"/>
  <c r="R60" i="5" a="1"/>
  <c r="R60" i="5" s="1"/>
  <c r="R42" i="5" a="1"/>
  <c r="R42" i="5" s="1"/>
  <c r="R119" i="5" a="1"/>
  <c r="R119" i="5" s="1"/>
  <c r="R108" i="5" a="1"/>
  <c r="R108" i="5" s="1"/>
  <c r="R96" i="5" a="1"/>
  <c r="R96" i="5" s="1"/>
  <c r="R32" i="5" a="1"/>
  <c r="R32" i="5" s="1"/>
  <c r="R102" i="5" a="1"/>
  <c r="R102" i="5" s="1"/>
  <c r="R69" i="5" a="1"/>
  <c r="R69" i="5" s="1"/>
  <c r="R58" i="5" a="1"/>
  <c r="R58" i="5" s="1"/>
  <c r="R84" i="5" a="1"/>
  <c r="R84" i="5" s="1"/>
  <c r="R80" i="5" a="1"/>
  <c r="R80" i="5" s="1"/>
  <c r="R30" i="5" a="1"/>
  <c r="R30" i="5" s="1"/>
  <c r="R53" i="5" a="1"/>
  <c r="R53" i="5" s="1"/>
  <c r="P60" i="3"/>
  <c r="P74" i="3"/>
  <c r="P105" i="3"/>
  <c r="P112" i="3"/>
  <c r="K43" i="3"/>
  <c r="P48" i="3"/>
  <c r="P59" i="3"/>
  <c r="P52" i="3"/>
  <c r="C22" i="3"/>
  <c r="P34" i="3"/>
  <c r="K76" i="3"/>
  <c r="P65" i="3"/>
  <c r="P104" i="3"/>
  <c r="P84" i="3"/>
  <c r="P50" i="3"/>
  <c r="P126" i="3"/>
  <c r="P54" i="3"/>
  <c r="P44" i="3"/>
  <c r="P37" i="3"/>
  <c r="P91" i="3"/>
  <c r="K125" i="3"/>
  <c r="P111" i="3"/>
  <c r="P121" i="3"/>
  <c r="P123" i="3"/>
  <c r="P72" i="3"/>
  <c r="P113" i="3"/>
  <c r="P93" i="3"/>
  <c r="K41" i="3"/>
  <c r="P61" i="3"/>
  <c r="P116" i="3"/>
  <c r="P89" i="3"/>
  <c r="P31" i="3"/>
  <c r="P129" i="3"/>
  <c r="P88" i="3"/>
  <c r="P125" i="3"/>
  <c r="P68" i="3"/>
  <c r="P51" i="3"/>
  <c r="P32" i="3"/>
  <c r="K117" i="3"/>
  <c r="P92" i="3"/>
  <c r="K93" i="3"/>
  <c r="P71" i="3"/>
  <c r="P101" i="3"/>
  <c r="K70" i="3"/>
  <c r="P79" i="3"/>
  <c r="P118" i="3"/>
  <c r="K79" i="3"/>
  <c r="K86" i="3"/>
  <c r="K88" i="3"/>
  <c r="K85" i="3"/>
  <c r="P85" i="3"/>
  <c r="K94" i="3"/>
  <c r="K106" i="3"/>
  <c r="K62" i="3"/>
  <c r="P128" i="3"/>
  <c r="P49" i="3"/>
  <c r="K103" i="3"/>
  <c r="K50" i="3"/>
  <c r="K105" i="3"/>
  <c r="P76" i="3"/>
  <c r="P82" i="3"/>
  <c r="K75" i="3"/>
  <c r="K92" i="3"/>
  <c r="P103" i="3"/>
  <c r="P119" i="3"/>
  <c r="K115" i="3"/>
  <c r="K72" i="3"/>
  <c r="K56" i="3"/>
  <c r="P69" i="3"/>
  <c r="P83" i="3"/>
  <c r="K123" i="3"/>
  <c r="P81" i="3"/>
  <c r="P86" i="3"/>
  <c r="K108" i="3"/>
  <c r="K38" i="3"/>
  <c r="P100" i="3"/>
  <c r="P63" i="3"/>
  <c r="P77" i="3"/>
  <c r="K87" i="3"/>
  <c r="K81" i="3"/>
  <c r="P106" i="3"/>
  <c r="K121" i="3"/>
  <c r="P67" i="3"/>
  <c r="P73" i="3"/>
  <c r="K34" i="3"/>
  <c r="P70" i="3"/>
  <c r="P41" i="3"/>
  <c r="P46" i="3"/>
  <c r="K118" i="3"/>
  <c r="P107" i="3"/>
  <c r="K53" i="3"/>
  <c r="K67" i="3"/>
  <c r="K74" i="3"/>
  <c r="K83" i="3"/>
  <c r="P45" i="3"/>
  <c r="P90" i="3"/>
  <c r="K71" i="3"/>
  <c r="K127" i="3"/>
  <c r="P94" i="3"/>
  <c r="P33" i="3"/>
  <c r="P110" i="3"/>
  <c r="K101" i="3"/>
  <c r="P35" i="3"/>
  <c r="P40" i="3"/>
  <c r="K107" i="3"/>
  <c r="P109" i="3"/>
  <c r="K91" i="3"/>
  <c r="K110" i="3"/>
  <c r="K78" i="3"/>
  <c r="K64" i="3"/>
  <c r="P56" i="3"/>
  <c r="P98" i="3"/>
  <c r="K44" i="3"/>
  <c r="P55" i="3"/>
  <c r="P130" i="3"/>
  <c r="K47" i="3"/>
  <c r="K60" i="3"/>
  <c r="K128" i="3"/>
  <c r="P64" i="3"/>
  <c r="P87" i="3"/>
  <c r="P114" i="3"/>
  <c r="K102" i="3"/>
  <c r="K109" i="3"/>
  <c r="K130" i="3"/>
  <c r="P102" i="3"/>
  <c r="P39" i="3"/>
  <c r="K52" i="3"/>
  <c r="P97" i="3"/>
  <c r="K46" i="3"/>
  <c r="K35" i="3"/>
  <c r="K39" i="3"/>
  <c r="P124" i="3"/>
  <c r="K69" i="3"/>
  <c r="P42" i="3"/>
  <c r="K57" i="3"/>
  <c r="P38" i="3"/>
  <c r="K59" i="3"/>
  <c r="K63" i="3"/>
  <c r="K45" i="3"/>
  <c r="K104" i="3"/>
  <c r="K124" i="3"/>
  <c r="K89" i="3"/>
  <c r="P122" i="3"/>
  <c r="P95" i="3"/>
  <c r="P57" i="3"/>
  <c r="B22" i="3"/>
  <c r="K126" i="3"/>
  <c r="K129" i="3"/>
  <c r="K54" i="3"/>
  <c r="K95" i="3"/>
  <c r="K80" i="3"/>
  <c r="K116" i="3"/>
  <c r="K65" i="3"/>
  <c r="K97" i="3"/>
  <c r="F83" i="4"/>
  <c r="I83" i="4"/>
  <c r="E83" i="4"/>
  <c r="G83" i="4"/>
  <c r="H83" i="4"/>
  <c r="L83" i="4"/>
  <c r="M83" i="4"/>
  <c r="N83" i="4"/>
  <c r="A84" i="4"/>
  <c r="O83" i="4"/>
  <c r="J83" i="4"/>
  <c r="C83" i="4"/>
  <c r="K83" i="4"/>
  <c r="B83" i="4"/>
  <c r="D83" i="4"/>
  <c r="K51" i="3"/>
  <c r="K100" i="3"/>
  <c r="K82" i="3"/>
  <c r="K113" i="3"/>
  <c r="K84" i="3"/>
  <c r="K73" i="3"/>
  <c r="P115" i="3"/>
  <c r="P117" i="3"/>
  <c r="K119" i="3"/>
  <c r="K77" i="3"/>
  <c r="K90" i="3"/>
  <c r="K114" i="3"/>
  <c r="K37" i="3"/>
  <c r="P53" i="3"/>
  <c r="P66" i="3"/>
  <c r="P127" i="3"/>
  <c r="K61" i="3"/>
  <c r="P99" i="3"/>
  <c r="P47" i="3"/>
  <c r="P96" i="3"/>
  <c r="K48" i="3"/>
  <c r="K112" i="3"/>
  <c r="K32" i="3"/>
  <c r="K36" i="3"/>
  <c r="K120" i="3"/>
  <c r="K98" i="3"/>
  <c r="P75" i="3"/>
  <c r="P108" i="3"/>
  <c r="P58" i="3"/>
  <c r="K33" i="3"/>
  <c r="K66" i="3"/>
  <c r="P36" i="3"/>
  <c r="P43" i="3"/>
  <c r="P78" i="3"/>
  <c r="P120" i="3"/>
  <c r="P62" i="3"/>
  <c r="K68" i="3"/>
  <c r="K58" i="3"/>
  <c r="K42" i="3"/>
  <c r="K99" i="3"/>
  <c r="K111" i="3"/>
  <c r="K96" i="3"/>
  <c r="B15" i="4" a="1"/>
  <c r="F41" i="4" s="1"/>
  <c r="K31" i="3"/>
  <c r="K122" i="3"/>
  <c r="K49" i="3"/>
  <c r="K55" i="3"/>
  <c r="K40" i="3"/>
  <c r="D53" i="4"/>
  <c r="I51" i="4"/>
  <c r="C53" i="4"/>
  <c r="G51" i="4"/>
  <c r="A53" i="4"/>
  <c r="D51" i="4"/>
  <c r="C51" i="4"/>
  <c r="I52" i="4"/>
  <c r="K52" i="4" s="1"/>
  <c r="J53" i="4"/>
  <c r="K53" i="4" s="1"/>
  <c r="C52" i="4"/>
  <c r="M51" i="4"/>
  <c r="N52" i="4" a="1"/>
  <c r="N52" i="4" s="1"/>
  <c r="F51" i="4"/>
  <c r="H51" i="4" s="1"/>
  <c r="A52" i="4"/>
  <c r="L52" i="4"/>
  <c r="N53" i="4" a="1"/>
  <c r="N53" i="4" s="1"/>
  <c r="L51" i="4"/>
  <c r="M52" i="4"/>
  <c r="E51" i="4"/>
  <c r="A51" i="4"/>
  <c r="J52" i="4"/>
  <c r="G53" i="4"/>
  <c r="H53" i="4" s="1"/>
  <c r="J51" i="4"/>
  <c r="K51" i="4" s="1"/>
  <c r="G52" i="4"/>
  <c r="H52" i="4" s="1"/>
  <c r="F52" i="4"/>
  <c r="E52" i="4"/>
  <c r="D52" i="4"/>
  <c r="N51" i="4" a="1"/>
  <c r="N51" i="4" s="1"/>
  <c r="F53" i="4"/>
  <c r="L53" i="4" s="1"/>
  <c r="E53" i="4"/>
  <c r="M53" i="4" s="1"/>
  <c r="I53" i="4"/>
  <c r="M47" i="4"/>
  <c r="C50" i="4"/>
  <c r="G45" i="4"/>
  <c r="H45" i="4" s="1"/>
  <c r="J45" i="4"/>
  <c r="K45" i="4" s="1"/>
  <c r="J44" i="4"/>
  <c r="F47" i="4"/>
  <c r="K49" i="4"/>
  <c r="J50" i="4"/>
  <c r="K50" i="4" s="1"/>
  <c r="I45" i="4"/>
  <c r="J47" i="4"/>
  <c r="K47" i="4" s="1"/>
  <c r="A46" i="4"/>
  <c r="N50" i="4" a="1"/>
  <c r="N50" i="4" s="1"/>
  <c r="F49" i="4"/>
  <c r="L49" i="4" s="1"/>
  <c r="E49" i="4"/>
  <c r="F50" i="4"/>
  <c r="L50" i="4" s="1"/>
  <c r="N44" i="4" a="1"/>
  <c r="N44" i="4" s="1"/>
  <c r="C48" i="4"/>
  <c r="J49" i="4"/>
  <c r="I50" i="4"/>
  <c r="A47" i="4"/>
  <c r="E44" i="4"/>
  <c r="M44" i="4" s="1"/>
  <c r="N48" i="4" a="1"/>
  <c r="N48" i="4" s="1"/>
  <c r="G46" i="4"/>
  <c r="H46" i="4" s="1"/>
  <c r="E47" i="4"/>
  <c r="D49" i="4"/>
  <c r="D45" i="4"/>
  <c r="G49" i="4"/>
  <c r="H49" i="4" s="1"/>
  <c r="D44" i="4"/>
  <c r="A49" i="4"/>
  <c r="N49" i="4" a="1"/>
  <c r="N49" i="4" s="1"/>
  <c r="G47" i="4"/>
  <c r="H47" i="4" s="1"/>
  <c r="I46" i="4"/>
  <c r="J48" i="4"/>
  <c r="K48" i="4" s="1"/>
  <c r="D50" i="4"/>
  <c r="N45" i="4" a="1"/>
  <c r="N45" i="4" s="1"/>
  <c r="C47" i="4"/>
  <c r="J46" i="4"/>
  <c r="K46" i="4" s="1"/>
  <c r="A48" i="4"/>
  <c r="F44" i="4"/>
  <c r="L44" i="4" s="1"/>
  <c r="L47" i="4"/>
  <c r="L48" i="4"/>
  <c r="G44" i="4"/>
  <c r="H44" i="4" s="1"/>
  <c r="E46" i="4"/>
  <c r="M46" i="4" s="1"/>
  <c r="C49" i="4"/>
  <c r="D46" i="4"/>
  <c r="D47" i="4"/>
  <c r="N46" i="4" a="1"/>
  <c r="N46" i="4" s="1"/>
  <c r="F46" i="4"/>
  <c r="L46" i="4" s="1"/>
  <c r="I44" i="4"/>
  <c r="K44" i="4" s="1"/>
  <c r="D48" i="4"/>
  <c r="A44" i="4"/>
  <c r="C44" i="4"/>
  <c r="E48" i="4"/>
  <c r="C45" i="4"/>
  <c r="E45" i="4"/>
  <c r="M45" i="4" s="1"/>
  <c r="C46" i="4"/>
  <c r="M49" i="4"/>
  <c r="A45" i="4"/>
  <c r="A50" i="4"/>
  <c r="I47" i="4"/>
  <c r="F48" i="4"/>
  <c r="H48" i="4" s="1"/>
  <c r="F45" i="4"/>
  <c r="L45" i="4" s="1"/>
  <c r="N47" i="4" a="1"/>
  <c r="N47" i="4" s="1"/>
  <c r="I48" i="4"/>
  <c r="M48" i="4"/>
  <c r="E50" i="4"/>
  <c r="M50" i="4" s="1"/>
  <c r="G50" i="4"/>
  <c r="H50" i="4" s="1"/>
  <c r="G48" i="4"/>
  <c r="I49" i="4"/>
  <c r="Q17" i="3"/>
  <c r="P17" i="3"/>
  <c r="O17" i="3"/>
  <c r="N18" i="3"/>
  <c r="A13" i="5" l="1"/>
  <c r="R21" i="5"/>
  <c r="E43" i="4"/>
  <c r="G19" i="4"/>
  <c r="A37" i="4"/>
  <c r="N35" i="4" a="1"/>
  <c r="N35" i="4" s="1"/>
  <c r="A31" i="4"/>
  <c r="A38" i="4"/>
  <c r="F23" i="4"/>
  <c r="J28" i="4"/>
  <c r="D25" i="4"/>
  <c r="D37" i="4"/>
  <c r="J16" i="4"/>
  <c r="G28" i="4"/>
  <c r="J26" i="4"/>
  <c r="N27" i="4" a="1"/>
  <c r="N27" i="4" s="1"/>
  <c r="C38" i="4"/>
  <c r="G41" i="4"/>
  <c r="L41" i="4" s="1"/>
  <c r="F35" i="4"/>
  <c r="J22" i="4"/>
  <c r="D35" i="4"/>
  <c r="I27" i="4"/>
  <c r="J20" i="4"/>
  <c r="E19" i="4"/>
  <c r="M19" i="4" s="1"/>
  <c r="I17" i="4"/>
  <c r="G43" i="4"/>
  <c r="J25" i="4"/>
  <c r="K25" i="4" s="1"/>
  <c r="G20" i="4"/>
  <c r="F29" i="4"/>
  <c r="E35" i="4"/>
  <c r="M35" i="4" s="1"/>
  <c r="E20" i="4"/>
  <c r="M20" i="4" s="1"/>
  <c r="D16" i="4"/>
  <c r="I22" i="4"/>
  <c r="A39" i="4"/>
  <c r="E31" i="4"/>
  <c r="M31" i="4" s="1"/>
  <c r="A23" i="4"/>
  <c r="I19" i="4"/>
  <c r="I30" i="4"/>
  <c r="C24" i="4"/>
  <c r="C29" i="4"/>
  <c r="F25" i="4"/>
  <c r="E40" i="4"/>
  <c r="M40" i="4" s="1"/>
  <c r="I43" i="4"/>
  <c r="C42" i="4"/>
  <c r="G38" i="4"/>
  <c r="A35" i="4"/>
  <c r="J18" i="4"/>
  <c r="G30" i="4"/>
  <c r="F24" i="4"/>
  <c r="G16" i="4"/>
  <c r="E33" i="4"/>
  <c r="M33" i="4" s="1"/>
  <c r="I42" i="4"/>
  <c r="E38" i="4"/>
  <c r="M38" i="4" s="1"/>
  <c r="C40" i="4"/>
  <c r="D23" i="4"/>
  <c r="E17" i="4"/>
  <c r="M17" i="4" s="1"/>
  <c r="A21" i="4"/>
  <c r="C30" i="4"/>
  <c r="E36" i="4"/>
  <c r="M36" i="4" s="1"/>
  <c r="C43" i="4"/>
  <c r="A29" i="4"/>
  <c r="I34" i="4"/>
  <c r="A27" i="4"/>
  <c r="C36" i="4"/>
  <c r="E25" i="4"/>
  <c r="M25" i="4" s="1"/>
  <c r="A22" i="4"/>
  <c r="N30" i="4" a="1"/>
  <c r="N30" i="4" s="1"/>
  <c r="G42" i="4"/>
  <c r="E24" i="4"/>
  <c r="M24" i="4" s="1"/>
  <c r="J27" i="4"/>
  <c r="K27" i="4" s="1"/>
  <c r="F19" i="4"/>
  <c r="I37" i="4"/>
  <c r="N37" i="4" a="1"/>
  <c r="N37" i="4" s="1"/>
  <c r="C31" i="4"/>
  <c r="A40" i="4"/>
  <c r="N22" i="4" a="1"/>
  <c r="N22" i="4" s="1"/>
  <c r="E22" i="4"/>
  <c r="M22" i="4" s="1"/>
  <c r="C37" i="4"/>
  <c r="N23" i="4" a="1"/>
  <c r="N23" i="4" s="1"/>
  <c r="J32" i="4"/>
  <c r="E34" i="4"/>
  <c r="M34" i="4" s="1"/>
  <c r="N43" i="4" a="1"/>
  <c r="N43" i="4" s="1"/>
  <c r="I36" i="4"/>
  <c r="I23" i="4"/>
  <c r="J35" i="4"/>
  <c r="E27" i="4"/>
  <c r="M27" i="4" s="1"/>
  <c r="D43" i="4"/>
  <c r="E39" i="4"/>
  <c r="M39" i="4" s="1"/>
  <c r="A34" i="4"/>
  <c r="E29" i="4"/>
  <c r="M29" i="4" s="1"/>
  <c r="F37" i="4"/>
  <c r="J33" i="4"/>
  <c r="F18" i="4"/>
  <c r="C17" i="4"/>
  <c r="J38" i="4"/>
  <c r="E30" i="4"/>
  <c r="M30" i="4" s="1"/>
  <c r="J31" i="4"/>
  <c r="A36" i="4"/>
  <c r="C19" i="4"/>
  <c r="D29" i="4"/>
  <c r="G25" i="4"/>
  <c r="N17" i="4" a="1"/>
  <c r="N17" i="4" s="1"/>
  <c r="N34" i="4" a="1"/>
  <c r="N34" i="4" s="1"/>
  <c r="F21" i="4"/>
  <c r="E16" i="4"/>
  <c r="M16" i="4" s="1"/>
  <c r="E41" i="4"/>
  <c r="M41" i="4" s="1"/>
  <c r="J42" i="4"/>
  <c r="D33" i="4"/>
  <c r="F32" i="4"/>
  <c r="F22" i="4"/>
  <c r="C21" i="4"/>
  <c r="G21" i="4"/>
  <c r="I35" i="4"/>
  <c r="D21" i="4"/>
  <c r="N25" i="4" a="1"/>
  <c r="N25" i="4" s="1"/>
  <c r="I40" i="4"/>
  <c r="I31" i="4"/>
  <c r="N29" i="4" a="1"/>
  <c r="N29" i="4" s="1"/>
  <c r="F17" i="4"/>
  <c r="D26" i="4"/>
  <c r="D18" i="4"/>
  <c r="E23" i="4"/>
  <c r="M23" i="4" s="1"/>
  <c r="M43" i="4"/>
  <c r="C39" i="4"/>
  <c r="N18" i="4" a="1"/>
  <c r="N18" i="4" s="1"/>
  <c r="F39" i="4"/>
  <c r="A43" i="4"/>
  <c r="E26" i="4"/>
  <c r="M26" i="4" s="1"/>
  <c r="D27" i="4"/>
  <c r="D22" i="4"/>
  <c r="J36" i="4"/>
  <c r="K36" i="4" s="1"/>
  <c r="F30" i="4"/>
  <c r="A33" i="4"/>
  <c r="J43" i="4"/>
  <c r="I29" i="4"/>
  <c r="P83" i="4"/>
  <c r="J17" i="4"/>
  <c r="K17" i="4" s="1"/>
  <c r="N42" i="4" a="1"/>
  <c r="N42" i="4" s="1"/>
  <c r="C18" i="4"/>
  <c r="I20" i="4"/>
  <c r="K20" i="4" s="1"/>
  <c r="F31" i="4"/>
  <c r="A16" i="4"/>
  <c r="C27" i="4"/>
  <c r="D31" i="4"/>
  <c r="C26" i="4"/>
  <c r="F33" i="4"/>
  <c r="D20" i="4"/>
  <c r="C23" i="4"/>
  <c r="C20" i="4"/>
  <c r="F34" i="4"/>
  <c r="D40" i="4"/>
  <c r="J40" i="4"/>
  <c r="N28" i="4" a="1"/>
  <c r="N28" i="4" s="1"/>
  <c r="D32" i="4"/>
  <c r="N33" i="4" a="1"/>
  <c r="N33" i="4" s="1"/>
  <c r="C25" i="4"/>
  <c r="N32" i="4" a="1"/>
  <c r="N32" i="4" s="1"/>
  <c r="C22" i="4"/>
  <c r="N20" i="4" a="1"/>
  <c r="N20" i="4" s="1"/>
  <c r="G23" i="4"/>
  <c r="E32" i="4"/>
  <c r="M32" i="4" s="1"/>
  <c r="C28" i="4"/>
  <c r="A17" i="4"/>
  <c r="D39" i="4"/>
  <c r="G24" i="4"/>
  <c r="A42" i="4"/>
  <c r="J19" i="4"/>
  <c r="A30" i="4"/>
  <c r="A19" i="4"/>
  <c r="A32" i="4"/>
  <c r="G35" i="4"/>
  <c r="H35" i="4" s="1"/>
  <c r="D17" i="4"/>
  <c r="J37" i="4"/>
  <c r="I26" i="4"/>
  <c r="B15" i="4"/>
  <c r="D15" i="4" s="1"/>
  <c r="N24" i="4" a="1"/>
  <c r="N24" i="4" s="1"/>
  <c r="C35" i="4"/>
  <c r="J30" i="4"/>
  <c r="G22" i="4"/>
  <c r="J39" i="4"/>
  <c r="N40" i="4" a="1"/>
  <c r="N40" i="4" s="1"/>
  <c r="C41" i="4"/>
  <c r="D28" i="4"/>
  <c r="N31" i="4" a="1"/>
  <c r="N31" i="4" s="1"/>
  <c r="G29" i="4"/>
  <c r="H29" i="4" s="1"/>
  <c r="G18" i="4"/>
  <c r="F20" i="4"/>
  <c r="F40" i="4"/>
  <c r="N39" i="4" a="1"/>
  <c r="N39" i="4" s="1"/>
  <c r="N41" i="4" a="1"/>
  <c r="N41" i="4" s="1"/>
  <c r="I39" i="4"/>
  <c r="F43" i="4"/>
  <c r="L43" i="4" s="1"/>
  <c r="F36" i="4"/>
  <c r="D36" i="4"/>
  <c r="A20" i="4"/>
  <c r="A28" i="4"/>
  <c r="A25" i="4"/>
  <c r="E21" i="4"/>
  <c r="M21" i="4" s="1"/>
  <c r="I33" i="4"/>
  <c r="I32" i="4"/>
  <c r="N36" i="4" a="1"/>
  <c r="N36" i="4" s="1"/>
  <c r="D24" i="4"/>
  <c r="I24" i="4"/>
  <c r="G40" i="4"/>
  <c r="F38" i="4"/>
  <c r="L38" i="4" s="1"/>
  <c r="D41" i="4"/>
  <c r="J41" i="4"/>
  <c r="D34" i="4"/>
  <c r="A26" i="4"/>
  <c r="A18" i="4"/>
  <c r="C34" i="4"/>
  <c r="J21" i="4"/>
  <c r="N26" i="4" a="1"/>
  <c r="N26" i="4" s="1"/>
  <c r="E18" i="4"/>
  <c r="M18" i="4" s="1"/>
  <c r="N16" i="4" a="1"/>
  <c r="N16" i="4" s="1"/>
  <c r="G33" i="4"/>
  <c r="A24" i="4"/>
  <c r="G27" i="4"/>
  <c r="G39" i="4"/>
  <c r="D38" i="4"/>
  <c r="G37" i="4"/>
  <c r="N38" i="4" a="1"/>
  <c r="N38" i="4" s="1"/>
  <c r="I41" i="4"/>
  <c r="I16" i="4"/>
  <c r="K16" i="4" s="1"/>
  <c r="J23" i="4"/>
  <c r="E28" i="4"/>
  <c r="M28" i="4" s="1"/>
  <c r="F26" i="4"/>
  <c r="G36" i="4"/>
  <c r="C32" i="4"/>
  <c r="N19" i="4" a="1"/>
  <c r="N19" i="4" s="1"/>
  <c r="G17" i="4"/>
  <c r="H17" i="4" s="1"/>
  <c r="C33" i="4"/>
  <c r="I28" i="4"/>
  <c r="K28" i="4" s="1"/>
  <c r="G31" i="4"/>
  <c r="G34" i="4"/>
  <c r="F27" i="4"/>
  <c r="J24" i="4"/>
  <c r="I21" i="4"/>
  <c r="I38" i="4"/>
  <c r="I18" i="4"/>
  <c r="G32" i="4"/>
  <c r="I25" i="4"/>
  <c r="N21" i="4" a="1"/>
  <c r="N21" i="4" s="1"/>
  <c r="E37" i="4"/>
  <c r="M37" i="4" s="1"/>
  <c r="D30" i="4"/>
  <c r="J34" i="4"/>
  <c r="D19" i="4"/>
  <c r="C16" i="4"/>
  <c r="G26" i="4"/>
  <c r="H26" i="4" s="1"/>
  <c r="F16" i="4"/>
  <c r="F28" i="4"/>
  <c r="D42" i="4"/>
  <c r="E42" i="4"/>
  <c r="M42" i="4" s="1"/>
  <c r="J29" i="4"/>
  <c r="A41" i="4"/>
  <c r="F42" i="4"/>
  <c r="H42" i="4" s="1"/>
  <c r="M84" i="4"/>
  <c r="J84" i="4"/>
  <c r="F84" i="4"/>
  <c r="D84" i="4"/>
  <c r="A85" i="4"/>
  <c r="E84" i="4"/>
  <c r="L84" i="4"/>
  <c r="I84" i="4"/>
  <c r="K84" i="4"/>
  <c r="G84" i="4"/>
  <c r="B84" i="4"/>
  <c r="H84" i="4"/>
  <c r="N84" i="4"/>
  <c r="C84" i="4"/>
  <c r="O84" i="4"/>
  <c r="L96" i="3"/>
  <c r="N19" i="3"/>
  <c r="Q18" i="3"/>
  <c r="P18" i="3"/>
  <c r="O18" i="3"/>
  <c r="L25" i="4" l="1"/>
  <c r="L19" i="4"/>
  <c r="K29" i="4"/>
  <c r="A14" i="5"/>
  <c r="L98" i="3"/>
  <c r="L28" i="4"/>
  <c r="L20" i="4"/>
  <c r="L127" i="3"/>
  <c r="H27" i="4"/>
  <c r="H18" i="4"/>
  <c r="K41" i="4"/>
  <c r="H39" i="4"/>
  <c r="K42" i="4"/>
  <c r="L68" i="3"/>
  <c r="L40" i="3"/>
  <c r="L82" i="3"/>
  <c r="K33" i="4"/>
  <c r="L130" i="3"/>
  <c r="K34" i="4"/>
  <c r="L78" i="3"/>
  <c r="L87" i="3"/>
  <c r="H38" i="4"/>
  <c r="H32" i="4"/>
  <c r="K31" i="4"/>
  <c r="L24" i="4"/>
  <c r="K22" i="4"/>
  <c r="H21" i="4"/>
  <c r="R22" i="5"/>
  <c r="R23" i="5"/>
  <c r="L110" i="3"/>
  <c r="L105" i="3"/>
  <c r="L33" i="3"/>
  <c r="L128" i="3"/>
  <c r="H37" i="4"/>
  <c r="L67" i="3"/>
  <c r="L51" i="3"/>
  <c r="L41" i="3"/>
  <c r="L50" i="3"/>
  <c r="L70" i="3"/>
  <c r="G15" i="4"/>
  <c r="K32" i="4"/>
  <c r="L77" i="3"/>
  <c r="L89" i="3"/>
  <c r="K19" i="4"/>
  <c r="L109" i="3"/>
  <c r="K35" i="4"/>
  <c r="L30" i="4"/>
  <c r="H19" i="4"/>
  <c r="L54" i="3"/>
  <c r="C15" i="4"/>
  <c r="L64" i="3"/>
  <c r="L47" i="3"/>
  <c r="L108" i="3"/>
  <c r="L94" i="3"/>
  <c r="L57" i="3"/>
  <c r="L60" i="3"/>
  <c r="L116" i="3"/>
  <c r="L36" i="3"/>
  <c r="L62" i="3"/>
  <c r="H41" i="4"/>
  <c r="H22" i="4"/>
  <c r="L74" i="3"/>
  <c r="K23" i="4"/>
  <c r="H30" i="4"/>
  <c r="L59" i="3"/>
  <c r="L29" i="4"/>
  <c r="L35" i="4"/>
  <c r="L100" i="3"/>
  <c r="L103" i="3"/>
  <c r="L93" i="3"/>
  <c r="L122" i="3"/>
  <c r="L39" i="4"/>
  <c r="L43" i="3"/>
  <c r="L124" i="3"/>
  <c r="L45" i="3"/>
  <c r="L84" i="3"/>
  <c r="K18" i="4"/>
  <c r="L102" i="3"/>
  <c r="I15" i="4"/>
  <c r="A15" i="4"/>
  <c r="L104" i="3"/>
  <c r="N15" i="4" a="1"/>
  <c r="N15" i="4" s="1"/>
  <c r="L36" i="4"/>
  <c r="K30" i="4"/>
  <c r="L33" i="4"/>
  <c r="K40" i="4"/>
  <c r="L49" i="3"/>
  <c r="L112" i="3"/>
  <c r="H24" i="4"/>
  <c r="L113" i="3"/>
  <c r="L56" i="3"/>
  <c r="L31" i="3"/>
  <c r="L75" i="3"/>
  <c r="K38" i="4"/>
  <c r="K43" i="4"/>
  <c r="L55" i="3"/>
  <c r="L97" i="3"/>
  <c r="L118" i="3"/>
  <c r="L38" i="3"/>
  <c r="H43" i="4"/>
  <c r="K24" i="4"/>
  <c r="L86" i="3"/>
  <c r="L32" i="3"/>
  <c r="L80" i="3"/>
  <c r="L66" i="3"/>
  <c r="L27" i="4"/>
  <c r="K26" i="4"/>
  <c r="L32" i="4"/>
  <c r="L21" i="4"/>
  <c r="L120" i="3"/>
  <c r="J15" i="4"/>
  <c r="K15" i="4" s="1"/>
  <c r="L123" i="3"/>
  <c r="L42" i="4"/>
  <c r="L16" i="4"/>
  <c r="H34" i="4"/>
  <c r="L40" i="4"/>
  <c r="K37" i="4"/>
  <c r="L31" i="4"/>
  <c r="H25" i="4"/>
  <c r="H20" i="4"/>
  <c r="H23" i="4"/>
  <c r="L23" i="4"/>
  <c r="P84" i="4"/>
  <c r="L81" i="3"/>
  <c r="L92" i="3"/>
  <c r="L119" i="3"/>
  <c r="L37" i="3"/>
  <c r="L101" i="3"/>
  <c r="L73" i="3"/>
  <c r="L88" i="3"/>
  <c r="L52" i="3"/>
  <c r="L34" i="4"/>
  <c r="B9" i="4"/>
  <c r="H31" i="4"/>
  <c r="H40" i="4"/>
  <c r="L22" i="4"/>
  <c r="H33" i="4"/>
  <c r="I85" i="4"/>
  <c r="F85" i="4"/>
  <c r="L85" i="4"/>
  <c r="H85" i="4"/>
  <c r="E85" i="4"/>
  <c r="B85" i="4"/>
  <c r="O85" i="4"/>
  <c r="N85" i="4"/>
  <c r="A86" i="4"/>
  <c r="J85" i="4"/>
  <c r="K85" i="4"/>
  <c r="G85" i="4"/>
  <c r="D85" i="4"/>
  <c r="C85" i="4"/>
  <c r="M85" i="4"/>
  <c r="L35" i="3"/>
  <c r="L39" i="3"/>
  <c r="L85" i="3"/>
  <c r="L71" i="3"/>
  <c r="L114" i="3"/>
  <c r="K21" i="4"/>
  <c r="L58" i="3"/>
  <c r="H16" i="4"/>
  <c r="L18" i="4"/>
  <c r="H28" i="4"/>
  <c r="L106" i="3"/>
  <c r="L69" i="3"/>
  <c r="L53" i="3"/>
  <c r="L34" i="3"/>
  <c r="L42" i="3"/>
  <c r="L90" i="3"/>
  <c r="F15" i="4"/>
  <c r="L15" i="4" s="1"/>
  <c r="L48" i="3"/>
  <c r="L72" i="3"/>
  <c r="L107" i="3"/>
  <c r="L61" i="3"/>
  <c r="L83" i="3"/>
  <c r="E15" i="4"/>
  <c r="D9" i="4" s="1"/>
  <c r="L129" i="3"/>
  <c r="H36" i="4"/>
  <c r="L37" i="4"/>
  <c r="L95" i="3"/>
  <c r="L79" i="3"/>
  <c r="L26" i="4"/>
  <c r="L76" i="3"/>
  <c r="L91" i="3"/>
  <c r="L117" i="3"/>
  <c r="L125" i="3"/>
  <c r="L63" i="3"/>
  <c r="L46" i="3"/>
  <c r="L99" i="3"/>
  <c r="L126" i="3"/>
  <c r="L121" i="3"/>
  <c r="L65" i="3"/>
  <c r="L115" i="3"/>
  <c r="L44" i="3"/>
  <c r="L111" i="3"/>
  <c r="L17" i="4"/>
  <c r="K39" i="4"/>
  <c r="N20" i="3"/>
  <c r="Q19" i="3"/>
  <c r="O19" i="3"/>
  <c r="P19" i="3"/>
  <c r="A15" i="5" l="1"/>
  <c r="AH110" i="5"/>
  <c r="AY110" i="5" s="1"/>
  <c r="AH112" i="5"/>
  <c r="AY112" i="5" s="1"/>
  <c r="AH64" i="5"/>
  <c r="AY64" i="5" s="1"/>
  <c r="AH89" i="5"/>
  <c r="AY89" i="5" s="1"/>
  <c r="AH50" i="5"/>
  <c r="AY50" i="5" s="1"/>
  <c r="AH58" i="5"/>
  <c r="AY58" i="5" s="1"/>
  <c r="AH28" i="5"/>
  <c r="AH70" i="5"/>
  <c r="AH40" i="5"/>
  <c r="AY40" i="5" s="1"/>
  <c r="AH69" i="5"/>
  <c r="AH26" i="5"/>
  <c r="AY26" i="5" s="1"/>
  <c r="AH35" i="5"/>
  <c r="AY35" i="5" s="1"/>
  <c r="AH44" i="5"/>
  <c r="AY44" i="5" s="1"/>
  <c r="AH86" i="5"/>
  <c r="AY86" i="5" s="1"/>
  <c r="AH93" i="5"/>
  <c r="AY93" i="5" s="1"/>
  <c r="AH66" i="5"/>
  <c r="AY66" i="5" s="1"/>
  <c r="AH98" i="5"/>
  <c r="AY98" i="5" s="1"/>
  <c r="AH55" i="5"/>
  <c r="AY55" i="5" s="1"/>
  <c r="AH59" i="5"/>
  <c r="AY59" i="5" s="1"/>
  <c r="AH76" i="5"/>
  <c r="AY76" i="5" s="1"/>
  <c r="AH38" i="5"/>
  <c r="AY38" i="5" s="1"/>
  <c r="AH34" i="5"/>
  <c r="AY34" i="5" s="1"/>
  <c r="AH88" i="5"/>
  <c r="AY88" i="5" s="1"/>
  <c r="AH117" i="5"/>
  <c r="AY117" i="5" s="1"/>
  <c r="AH79" i="5"/>
  <c r="AY79" i="5" s="1"/>
  <c r="AH84" i="5"/>
  <c r="AH92" i="5"/>
  <c r="AY92" i="5" s="1"/>
  <c r="AH63" i="5"/>
  <c r="AY63" i="5" s="1"/>
  <c r="AH43" i="5"/>
  <c r="AY43" i="5" s="1"/>
  <c r="AH74" i="5"/>
  <c r="AY74" i="5" s="1"/>
  <c r="AH54" i="5"/>
  <c r="AY54" i="5" s="1"/>
  <c r="AH53" i="5"/>
  <c r="AY53" i="5" s="1"/>
  <c r="AH116" i="5"/>
  <c r="AY116" i="5" s="1"/>
  <c r="AH45" i="5"/>
  <c r="AY45" i="5" s="1"/>
  <c r="AH104" i="5"/>
  <c r="AY104" i="5" s="1"/>
  <c r="AH109" i="5"/>
  <c r="AH73" i="5"/>
  <c r="AY73" i="5" s="1"/>
  <c r="AH60" i="5"/>
  <c r="AY60" i="5" s="1"/>
  <c r="AH102" i="5"/>
  <c r="AH113" i="5"/>
  <c r="AY113" i="5" s="1"/>
  <c r="AH95" i="5"/>
  <c r="AH123" i="5"/>
  <c r="AY123" i="5" s="1"/>
  <c r="AH80" i="5"/>
  <c r="AY80" i="5" s="1"/>
  <c r="AH85" i="5"/>
  <c r="AY85" i="5" s="1"/>
  <c r="AH119" i="5"/>
  <c r="AH114" i="5"/>
  <c r="AY114" i="5" s="1"/>
  <c r="AH32" i="5"/>
  <c r="AY32" i="5" s="1"/>
  <c r="AH27" i="5"/>
  <c r="AY27" i="5" s="1"/>
  <c r="AH78" i="5"/>
  <c r="AY78" i="5" s="1"/>
  <c r="AH94" i="5"/>
  <c r="AY94" i="5" s="1"/>
  <c r="AH91" i="5"/>
  <c r="AY91" i="5" s="1"/>
  <c r="AH61" i="5"/>
  <c r="AY61" i="5" s="1"/>
  <c r="AH65" i="5"/>
  <c r="AY65" i="5" s="1"/>
  <c r="AH31" i="5"/>
  <c r="AY31" i="5" s="1"/>
  <c r="AH118" i="5"/>
  <c r="AH42" i="5"/>
  <c r="AY42" i="5" s="1"/>
  <c r="AH47" i="5"/>
  <c r="AY47" i="5" s="1"/>
  <c r="AH105" i="5"/>
  <c r="AY105" i="5" s="1"/>
  <c r="AH72" i="5"/>
  <c r="AY72" i="5" s="1"/>
  <c r="AH103" i="5"/>
  <c r="AY103" i="5" s="1"/>
  <c r="AH108" i="5"/>
  <c r="AY108" i="5" s="1"/>
  <c r="AH51" i="5"/>
  <c r="AY51" i="5" s="1"/>
  <c r="AH82" i="5"/>
  <c r="AY82" i="5" s="1"/>
  <c r="AH68" i="5"/>
  <c r="AY68" i="5" s="1"/>
  <c r="AH99" i="5"/>
  <c r="AH56" i="5"/>
  <c r="AY56" i="5" s="1"/>
  <c r="AH39" i="5"/>
  <c r="AY39" i="5" s="1"/>
  <c r="AH124" i="5"/>
  <c r="AY124" i="5" s="1"/>
  <c r="AH71" i="5"/>
  <c r="AY71" i="5" s="1"/>
  <c r="AH101" i="5"/>
  <c r="AY101" i="5" s="1"/>
  <c r="AH97" i="5"/>
  <c r="AY97" i="5" s="1"/>
  <c r="AH48" i="5"/>
  <c r="AY48" i="5" s="1"/>
  <c r="AH81" i="5"/>
  <c r="AY81" i="5" s="1"/>
  <c r="AH120" i="5"/>
  <c r="AY120" i="5" s="1"/>
  <c r="AH107" i="5"/>
  <c r="AY107" i="5" s="1"/>
  <c r="AH25" i="5"/>
  <c r="AY25" i="5" s="1"/>
  <c r="AH90" i="5"/>
  <c r="AY90" i="5" s="1"/>
  <c r="AH121" i="5"/>
  <c r="AY121" i="5" s="1"/>
  <c r="AH122" i="5"/>
  <c r="AY122" i="5" s="1"/>
  <c r="AH75" i="5"/>
  <c r="AY75" i="5" s="1"/>
  <c r="AH106" i="5"/>
  <c r="AY106" i="5" s="1"/>
  <c r="AH30" i="5"/>
  <c r="AH111" i="5"/>
  <c r="AY111" i="5" s="1"/>
  <c r="AH41" i="5"/>
  <c r="AY41" i="5" s="1"/>
  <c r="AH36" i="5"/>
  <c r="AH100" i="5"/>
  <c r="AY100" i="5" s="1"/>
  <c r="AH29" i="5"/>
  <c r="AY29" i="5" s="1"/>
  <c r="AH46" i="5"/>
  <c r="AY46" i="5" s="1"/>
  <c r="AH33" i="5"/>
  <c r="AY33" i="5" s="1"/>
  <c r="AH67" i="5"/>
  <c r="AY67" i="5" s="1"/>
  <c r="AH115" i="5"/>
  <c r="AY115" i="5" s="1"/>
  <c r="AH49" i="5"/>
  <c r="AH57" i="5"/>
  <c r="AY57" i="5" s="1"/>
  <c r="AH62" i="5"/>
  <c r="AY62" i="5" s="1"/>
  <c r="AH52" i="5"/>
  <c r="AY52" i="5" s="1"/>
  <c r="AH96" i="5"/>
  <c r="AY96" i="5" s="1"/>
  <c r="AH37" i="5"/>
  <c r="AY37" i="5" s="1"/>
  <c r="AH77" i="5"/>
  <c r="AH83" i="5"/>
  <c r="AY83" i="5" s="1"/>
  <c r="AH87" i="5"/>
  <c r="AY87" i="5" s="1"/>
  <c r="M15" i="4"/>
  <c r="D10" i="4" s="1"/>
  <c r="H86" i="4"/>
  <c r="I86" i="4"/>
  <c r="M86" i="4"/>
  <c r="D86" i="4"/>
  <c r="F86" i="4"/>
  <c r="B86" i="4"/>
  <c r="E86" i="4"/>
  <c r="C86" i="4"/>
  <c r="O86" i="4"/>
  <c r="K86" i="4"/>
  <c r="J86" i="4"/>
  <c r="A87" i="4"/>
  <c r="G86" i="4"/>
  <c r="L86" i="4"/>
  <c r="N86" i="4"/>
  <c r="P85" i="4"/>
  <c r="H15" i="4"/>
  <c r="B10" i="4"/>
  <c r="N21" i="3"/>
  <c r="Q20" i="3"/>
  <c r="O20" i="3"/>
  <c r="P20" i="3"/>
  <c r="A16" i="5" l="1"/>
  <c r="B11" i="4"/>
  <c r="D49" i="5"/>
  <c r="AY49" i="5"/>
  <c r="S49" i="5" s="1" a="1"/>
  <c r="S49" i="5" s="1"/>
  <c r="D11" i="4"/>
  <c r="D84" i="5"/>
  <c r="AY84" i="5"/>
  <c r="S84" i="5" s="1" a="1"/>
  <c r="S84" i="5" s="1"/>
  <c r="D69" i="5"/>
  <c r="AY69" i="5"/>
  <c r="S69" i="5" s="1" a="1"/>
  <c r="S69" i="5" s="1"/>
  <c r="D119" i="5"/>
  <c r="AY119" i="5"/>
  <c r="S119" i="5" s="1" a="1"/>
  <c r="S119" i="5" s="1"/>
  <c r="D95" i="5"/>
  <c r="AY95" i="5"/>
  <c r="S95" i="5" s="1" a="1"/>
  <c r="S95" i="5" s="1"/>
  <c r="AY70" i="5"/>
  <c r="S70" i="5" s="1" a="1"/>
  <c r="S70" i="5" s="1"/>
  <c r="D70" i="5"/>
  <c r="D118" i="5"/>
  <c r="AY118" i="5"/>
  <c r="S118" i="5" s="1" a="1"/>
  <c r="S118" i="5" s="1"/>
  <c r="D102" i="5"/>
  <c r="AY102" i="5"/>
  <c r="S102" i="5" s="1" a="1"/>
  <c r="S102" i="5" s="1"/>
  <c r="D28" i="5"/>
  <c r="AY28" i="5"/>
  <c r="S28" i="5" s="1" a="1"/>
  <c r="S28" i="5" s="1"/>
  <c r="D109" i="5"/>
  <c r="AY109" i="5"/>
  <c r="S109" i="5" s="1" a="1"/>
  <c r="S109" i="5" s="1"/>
  <c r="AY36" i="5"/>
  <c r="S36" i="5" s="1" a="1"/>
  <c r="S36" i="5" s="1"/>
  <c r="D36" i="5"/>
  <c r="D77" i="5"/>
  <c r="AY77" i="5"/>
  <c r="S77" i="5" s="1" a="1"/>
  <c r="S77" i="5" s="1"/>
  <c r="D30" i="5"/>
  <c r="AY30" i="5"/>
  <c r="S30" i="5" s="1" a="1"/>
  <c r="S30" i="5" s="1"/>
  <c r="D99" i="5"/>
  <c r="AY99" i="5"/>
  <c r="S99" i="5" s="1" a="1"/>
  <c r="S99" i="5" s="1"/>
  <c r="P86" i="4"/>
  <c r="M87" i="4"/>
  <c r="J87" i="4"/>
  <c r="D87" i="4"/>
  <c r="P87" i="4"/>
  <c r="H87" i="4"/>
  <c r="C87" i="4"/>
  <c r="L87" i="4"/>
  <c r="I87" i="4"/>
  <c r="K87" i="4"/>
  <c r="O87" i="4"/>
  <c r="N87" i="4"/>
  <c r="G87" i="4"/>
  <c r="E87" i="4"/>
  <c r="B87" i="4"/>
  <c r="F87" i="4"/>
  <c r="A88" i="4"/>
  <c r="Q21" i="3"/>
  <c r="P21" i="3"/>
  <c r="O21" i="3"/>
  <c r="A17" i="5" l="1"/>
  <c r="S89" i="5" a="1"/>
  <c r="S89" i="5" s="1"/>
  <c r="S34" i="5" a="1"/>
  <c r="S34" i="5" s="1"/>
  <c r="S42" i="5" a="1"/>
  <c r="S42" i="5" s="1"/>
  <c r="S92" i="5" a="1"/>
  <c r="S92" i="5" s="1"/>
  <c r="S64" i="5" a="1"/>
  <c r="S64" i="5" s="1"/>
  <c r="S72" i="5" a="1"/>
  <c r="S72" i="5" s="1"/>
  <c r="S59" i="5" a="1"/>
  <c r="S59" i="5" s="1"/>
  <c r="S123" i="5" a="1"/>
  <c r="S123" i="5" s="1"/>
  <c r="S31" i="5" a="1"/>
  <c r="S31" i="5" s="1"/>
  <c r="S61" i="5" a="1"/>
  <c r="S61" i="5" s="1"/>
  <c r="S105" i="5" a="1"/>
  <c r="S105" i="5" s="1"/>
  <c r="S62" i="5" a="1"/>
  <c r="S62" i="5" s="1"/>
  <c r="S91" i="5" a="1"/>
  <c r="S91" i="5" s="1"/>
  <c r="S124" i="5" a="1"/>
  <c r="S124" i="5" s="1"/>
  <c r="S120" i="5" a="1"/>
  <c r="S120" i="5" s="1"/>
  <c r="S35" i="5" a="1"/>
  <c r="S35" i="5" s="1"/>
  <c r="S80" i="5" a="1"/>
  <c r="S80" i="5" s="1"/>
  <c r="S46" i="5" a="1"/>
  <c r="S46" i="5" s="1"/>
  <c r="S37" i="5" a="1"/>
  <c r="S37" i="5" s="1"/>
  <c r="S79" i="5" a="1"/>
  <c r="S79" i="5" s="1"/>
  <c r="S115" i="5" a="1"/>
  <c r="S115" i="5" s="1"/>
  <c r="S104" i="5" a="1"/>
  <c r="S104" i="5" s="1"/>
  <c r="S88" i="5" a="1"/>
  <c r="S88" i="5" s="1"/>
  <c r="S68" i="5" a="1"/>
  <c r="S68" i="5" s="1"/>
  <c r="S39" i="5" a="1"/>
  <c r="S39" i="5" s="1"/>
  <c r="S41" i="5" a="1"/>
  <c r="S41" i="5" s="1"/>
  <c r="S47" i="5" a="1"/>
  <c r="S47" i="5" s="1"/>
  <c r="S67" i="5" a="1"/>
  <c r="S67" i="5" s="1"/>
  <c r="S63" i="5" a="1"/>
  <c r="S63" i="5" s="1"/>
  <c r="S54" i="5" a="1"/>
  <c r="S54" i="5" s="1"/>
  <c r="S87" i="5" a="1"/>
  <c r="S87" i="5" s="1"/>
  <c r="S51" i="5" a="1"/>
  <c r="S51" i="5" s="1"/>
  <c r="S85" i="5" a="1"/>
  <c r="S85" i="5" s="1"/>
  <c r="S55" i="5" a="1"/>
  <c r="S55" i="5" s="1"/>
  <c r="S83" i="5" a="1"/>
  <c r="S83" i="5" s="1"/>
  <c r="S65" i="5" a="1"/>
  <c r="S65" i="5" s="1"/>
  <c r="S52" i="5" a="1"/>
  <c r="S52" i="5" s="1"/>
  <c r="S107" i="5" a="1"/>
  <c r="S107" i="5" s="1"/>
  <c r="S25" i="5" a="1"/>
  <c r="S25" i="5" s="1"/>
  <c r="S76" i="5" a="1"/>
  <c r="S76" i="5" s="1"/>
  <c r="S48" i="5" a="1"/>
  <c r="S48" i="5" s="1"/>
  <c r="S94" i="5" a="1"/>
  <c r="S94" i="5" s="1"/>
  <c r="S66" i="5" a="1"/>
  <c r="S66" i="5" s="1"/>
  <c r="S44" i="5" a="1"/>
  <c r="S44" i="5" s="1"/>
  <c r="S106" i="5" a="1"/>
  <c r="S106" i="5" s="1"/>
  <c r="S73" i="5" a="1"/>
  <c r="S73" i="5" s="1"/>
  <c r="S103" i="5" a="1"/>
  <c r="S103" i="5" s="1"/>
  <c r="S90" i="5" a="1"/>
  <c r="S90" i="5" s="1"/>
  <c r="S53" i="5" a="1"/>
  <c r="S53" i="5" s="1"/>
  <c r="S110" i="5" a="1"/>
  <c r="S110" i="5" s="1"/>
  <c r="S60" i="5" a="1"/>
  <c r="S60" i="5" s="1"/>
  <c r="S50" i="5" a="1"/>
  <c r="S50" i="5" s="1"/>
  <c r="S43" i="5" a="1"/>
  <c r="S43" i="5" s="1"/>
  <c r="S86" i="5" a="1"/>
  <c r="S86" i="5" s="1"/>
  <c r="S100" i="5" a="1"/>
  <c r="S100" i="5" s="1"/>
  <c r="S45" i="5" a="1"/>
  <c r="S45" i="5" s="1"/>
  <c r="S40" i="5" a="1"/>
  <c r="S40" i="5" s="1"/>
  <c r="S81" i="5" a="1"/>
  <c r="S81" i="5" s="1"/>
  <c r="S98" i="5" a="1"/>
  <c r="S98" i="5" s="1"/>
  <c r="S33" i="5" a="1"/>
  <c r="S33" i="5" s="1"/>
  <c r="S38" i="5" a="1"/>
  <c r="S38" i="5" s="1"/>
  <c r="S108" i="5" a="1"/>
  <c r="S108" i="5" s="1"/>
  <c r="S32" i="5" a="1"/>
  <c r="S32" i="5" s="1"/>
  <c r="S74" i="5" a="1"/>
  <c r="S74" i="5" s="1"/>
  <c r="S112" i="5" a="1"/>
  <c r="S112" i="5" s="1"/>
  <c r="S97" i="5" a="1"/>
  <c r="S97" i="5" s="1"/>
  <c r="S82" i="5" a="1"/>
  <c r="S82" i="5" s="1"/>
  <c r="S93" i="5" a="1"/>
  <c r="S93" i="5" s="1"/>
  <c r="S117" i="5" a="1"/>
  <c r="S117" i="5" s="1"/>
  <c r="S122" i="5" a="1"/>
  <c r="S122" i="5" s="1"/>
  <c r="S96" i="5" a="1"/>
  <c r="S96" i="5" s="1"/>
  <c r="S114" i="5" a="1"/>
  <c r="S114" i="5" s="1"/>
  <c r="S101" i="5" a="1"/>
  <c r="S101" i="5" s="1"/>
  <c r="S111" i="5" a="1"/>
  <c r="S111" i="5" s="1"/>
  <c r="S29" i="5" a="1"/>
  <c r="S29" i="5" s="1"/>
  <c r="S57" i="5" a="1"/>
  <c r="S57" i="5" s="1"/>
  <c r="S121" i="5" a="1"/>
  <c r="S121" i="5" s="1"/>
  <c r="S56" i="5" a="1"/>
  <c r="S56" i="5" s="1"/>
  <c r="S116" i="5" a="1"/>
  <c r="S116" i="5" s="1"/>
  <c r="S71" i="5" a="1"/>
  <c r="S71" i="5" s="1"/>
  <c r="S78" i="5" a="1"/>
  <c r="S78" i="5" s="1"/>
  <c r="S27" i="5" a="1"/>
  <c r="S27" i="5" s="1"/>
  <c r="S58" i="5" a="1"/>
  <c r="S58" i="5" s="1"/>
  <c r="S113" i="5" a="1"/>
  <c r="S113" i="5" s="1"/>
  <c r="S26" i="5" a="1"/>
  <c r="S26" i="5" s="1"/>
  <c r="S75" i="5" a="1"/>
  <c r="S75" i="5" s="1"/>
  <c r="N88" i="4"/>
  <c r="M88" i="4"/>
  <c r="B88" i="4"/>
  <c r="I88" i="4"/>
  <c r="D88" i="4"/>
  <c r="K88" i="4"/>
  <c r="G88" i="4"/>
  <c r="E88" i="4"/>
  <c r="C88" i="4"/>
  <c r="A89" i="4"/>
  <c r="P88" i="4"/>
  <c r="O88" i="4"/>
  <c r="L88" i="4"/>
  <c r="H88" i="4"/>
  <c r="J88" i="4"/>
  <c r="F88" i="4"/>
  <c r="A18" i="5" l="1"/>
  <c r="S21" i="5"/>
  <c r="E89" i="4"/>
  <c r="F89" i="4"/>
  <c r="N89" i="4"/>
  <c r="M89" i="4"/>
  <c r="B89" i="4"/>
  <c r="H89" i="4"/>
  <c r="O89" i="4"/>
  <c r="D89" i="4"/>
  <c r="C89" i="4"/>
  <c r="K89" i="4"/>
  <c r="J89" i="4"/>
  <c r="I89" i="4"/>
  <c r="G89" i="4"/>
  <c r="A90" i="4"/>
  <c r="P89" i="4"/>
  <c r="L89" i="4"/>
  <c r="A19" i="5" l="1"/>
  <c r="S23" i="5"/>
  <c r="S22" i="5"/>
  <c r="F90" i="4"/>
  <c r="H90" i="4"/>
  <c r="L90" i="4"/>
  <c r="B90" i="4"/>
  <c r="P90" i="4"/>
  <c r="J90" i="4"/>
  <c r="I90" i="4"/>
  <c r="K90" i="4"/>
  <c r="D90" i="4"/>
  <c r="N90" i="4"/>
  <c r="E90" i="4"/>
  <c r="M90" i="4"/>
  <c r="A91" i="4"/>
  <c r="C90" i="4"/>
  <c r="O90" i="4"/>
  <c r="G90" i="4"/>
  <c r="A20" i="5" l="1"/>
  <c r="AI92" i="5"/>
  <c r="AZ92" i="5" s="1"/>
  <c r="AI37" i="5"/>
  <c r="AZ37" i="5" s="1"/>
  <c r="AI103" i="5"/>
  <c r="AZ103" i="5" s="1"/>
  <c r="AI111" i="5"/>
  <c r="AZ111" i="5" s="1"/>
  <c r="AI29" i="5"/>
  <c r="AZ29" i="5" s="1"/>
  <c r="AI49" i="5"/>
  <c r="AZ49" i="5" s="1"/>
  <c r="T49" i="5" s="1" a="1"/>
  <c r="T49" i="5" s="1"/>
  <c r="AI115" i="5"/>
  <c r="AZ115" i="5" s="1"/>
  <c r="AI123" i="5"/>
  <c r="AZ123" i="5" s="1"/>
  <c r="AI120" i="5"/>
  <c r="AZ120" i="5" s="1"/>
  <c r="AI117" i="5"/>
  <c r="AZ117" i="5" s="1"/>
  <c r="AI112" i="5"/>
  <c r="AZ112" i="5" s="1"/>
  <c r="AI32" i="5"/>
  <c r="AZ32" i="5" s="1"/>
  <c r="AI27" i="5"/>
  <c r="AZ27" i="5" s="1"/>
  <c r="AI110" i="5"/>
  <c r="AZ110" i="5" s="1"/>
  <c r="AI99" i="5"/>
  <c r="AZ99" i="5" s="1"/>
  <c r="T99" i="5" s="1" a="1"/>
  <c r="T99" i="5" s="1"/>
  <c r="AI104" i="5"/>
  <c r="AZ104" i="5" s="1"/>
  <c r="AI48" i="5"/>
  <c r="AZ48" i="5" s="1"/>
  <c r="AI72" i="5"/>
  <c r="AZ72" i="5" s="1"/>
  <c r="AI62" i="5"/>
  <c r="AZ62" i="5" s="1"/>
  <c r="AI69" i="5"/>
  <c r="AZ69" i="5" s="1"/>
  <c r="T69" i="5" s="1" a="1"/>
  <c r="T69" i="5" s="1"/>
  <c r="AI100" i="5"/>
  <c r="AI121" i="5"/>
  <c r="AZ121" i="5" s="1"/>
  <c r="AI40" i="5"/>
  <c r="AZ40" i="5" s="1"/>
  <c r="AI57" i="5"/>
  <c r="AZ57" i="5" s="1"/>
  <c r="AI102" i="5"/>
  <c r="AZ102" i="5" s="1"/>
  <c r="T102" i="5" s="1" a="1"/>
  <c r="T102" i="5" s="1"/>
  <c r="AI98" i="5"/>
  <c r="AZ98" i="5" s="1"/>
  <c r="AI82" i="5"/>
  <c r="AZ82" i="5" s="1"/>
  <c r="AI85" i="5"/>
  <c r="AZ85" i="5" s="1"/>
  <c r="AI51" i="5"/>
  <c r="AZ51" i="5" s="1"/>
  <c r="AI107" i="5"/>
  <c r="AZ107" i="5" s="1"/>
  <c r="AI45" i="5"/>
  <c r="AZ45" i="5" s="1"/>
  <c r="AI80" i="5"/>
  <c r="AZ80" i="5" s="1"/>
  <c r="AI50" i="5"/>
  <c r="AZ50" i="5" s="1"/>
  <c r="AI30" i="5"/>
  <c r="AZ30" i="5" s="1"/>
  <c r="T30" i="5" s="1" a="1"/>
  <c r="T30" i="5" s="1"/>
  <c r="AI39" i="5"/>
  <c r="AI77" i="5"/>
  <c r="AZ77" i="5" s="1"/>
  <c r="T77" i="5" s="1" a="1"/>
  <c r="T77" i="5" s="1"/>
  <c r="AI58" i="5"/>
  <c r="AZ58" i="5" s="1"/>
  <c r="AI65" i="5"/>
  <c r="AZ65" i="5" s="1"/>
  <c r="AI46" i="5"/>
  <c r="AI101" i="5"/>
  <c r="AZ101" i="5" s="1"/>
  <c r="AI60" i="5"/>
  <c r="AZ60" i="5" s="1"/>
  <c r="AI74" i="5"/>
  <c r="AZ74" i="5" s="1"/>
  <c r="AI122" i="5"/>
  <c r="AZ122" i="5" s="1"/>
  <c r="AI81" i="5"/>
  <c r="AI118" i="5"/>
  <c r="AZ118" i="5" s="1"/>
  <c r="T118" i="5" s="1" a="1"/>
  <c r="T118" i="5" s="1"/>
  <c r="AI26" i="5"/>
  <c r="AZ26" i="5" s="1"/>
  <c r="AI59" i="5"/>
  <c r="AI119" i="5"/>
  <c r="AZ119" i="5" s="1"/>
  <c r="T119" i="5" s="1" a="1"/>
  <c r="T119" i="5" s="1"/>
  <c r="AI87" i="5"/>
  <c r="AZ87" i="5" s="1"/>
  <c r="AI73" i="5"/>
  <c r="AZ73" i="5" s="1"/>
  <c r="AI95" i="5"/>
  <c r="AZ95" i="5" s="1"/>
  <c r="T95" i="5" s="1" a="1"/>
  <c r="T95" i="5" s="1"/>
  <c r="AI64" i="5"/>
  <c r="AZ64" i="5" s="1"/>
  <c r="AI106" i="5"/>
  <c r="AZ106" i="5" s="1"/>
  <c r="AI66" i="5"/>
  <c r="AZ66" i="5" s="1"/>
  <c r="AI47" i="5"/>
  <c r="AZ47" i="5" s="1"/>
  <c r="AI44" i="5"/>
  <c r="AZ44" i="5" s="1"/>
  <c r="AI114" i="5"/>
  <c r="AZ114" i="5" s="1"/>
  <c r="AI79" i="5"/>
  <c r="AZ79" i="5" s="1"/>
  <c r="AI75" i="5"/>
  <c r="AZ75" i="5" s="1"/>
  <c r="AI124" i="5"/>
  <c r="AZ124" i="5" s="1"/>
  <c r="AI31" i="5"/>
  <c r="AZ31" i="5" s="1"/>
  <c r="AI83" i="5"/>
  <c r="AZ83" i="5" s="1"/>
  <c r="AI88" i="5"/>
  <c r="AI113" i="5"/>
  <c r="AZ113" i="5" s="1"/>
  <c r="AI89" i="5"/>
  <c r="AZ89" i="5" s="1"/>
  <c r="AI78" i="5"/>
  <c r="AZ78" i="5" s="1"/>
  <c r="AI38" i="5"/>
  <c r="AI116" i="5"/>
  <c r="AZ116" i="5" s="1"/>
  <c r="AI55" i="5"/>
  <c r="AZ55" i="5" s="1"/>
  <c r="AI84" i="5"/>
  <c r="AZ84" i="5" s="1"/>
  <c r="T84" i="5" s="1" a="1"/>
  <c r="T84" i="5" s="1"/>
  <c r="AI54" i="5"/>
  <c r="AZ54" i="5" s="1"/>
  <c r="AI109" i="5"/>
  <c r="AZ109" i="5" s="1"/>
  <c r="T109" i="5" s="1" a="1"/>
  <c r="T109" i="5" s="1"/>
  <c r="AI35" i="5"/>
  <c r="AZ35" i="5" s="1"/>
  <c r="AI42" i="5"/>
  <c r="AZ42" i="5" s="1"/>
  <c r="AI86" i="5"/>
  <c r="AZ86" i="5" s="1"/>
  <c r="AI67" i="5"/>
  <c r="AI97" i="5"/>
  <c r="AZ97" i="5" s="1"/>
  <c r="AI68" i="5"/>
  <c r="AZ68" i="5" s="1"/>
  <c r="AI28" i="5"/>
  <c r="AZ28" i="5" s="1"/>
  <c r="T28" i="5" s="1" a="1"/>
  <c r="T28" i="5" s="1"/>
  <c r="AI36" i="5"/>
  <c r="AZ36" i="5" s="1"/>
  <c r="T36" i="5" s="1" a="1"/>
  <c r="T36" i="5" s="1"/>
  <c r="AI63" i="5"/>
  <c r="AZ63" i="5" s="1"/>
  <c r="AI108" i="5"/>
  <c r="AZ108" i="5" s="1"/>
  <c r="AI70" i="5"/>
  <c r="AZ70" i="5" s="1"/>
  <c r="T70" i="5" s="1" a="1"/>
  <c r="T70" i="5" s="1"/>
  <c r="AI76" i="5"/>
  <c r="AI52" i="5"/>
  <c r="AI96" i="5"/>
  <c r="AZ96" i="5" s="1"/>
  <c r="AI91" i="5"/>
  <c r="AZ91" i="5" s="1"/>
  <c r="AI94" i="5"/>
  <c r="AZ94" i="5" s="1"/>
  <c r="AI25" i="5"/>
  <c r="AI43" i="5"/>
  <c r="AZ43" i="5" s="1"/>
  <c r="AI56" i="5"/>
  <c r="AZ56" i="5" s="1"/>
  <c r="AI90" i="5"/>
  <c r="AZ90" i="5" s="1"/>
  <c r="AI41" i="5"/>
  <c r="AZ41" i="5" s="1"/>
  <c r="AI93" i="5"/>
  <c r="AZ93" i="5" s="1"/>
  <c r="AI33" i="5"/>
  <c r="AZ33" i="5" s="1"/>
  <c r="AI71" i="5"/>
  <c r="AZ71" i="5" s="1"/>
  <c r="AI53" i="5"/>
  <c r="AZ53" i="5" s="1"/>
  <c r="AI34" i="5"/>
  <c r="AZ34" i="5" s="1"/>
  <c r="AI61" i="5"/>
  <c r="AZ61" i="5" s="1"/>
  <c r="AI105" i="5"/>
  <c r="AZ105" i="5" s="1"/>
  <c r="A92" i="4"/>
  <c r="F91" i="4"/>
  <c r="E91" i="4"/>
  <c r="D91" i="4"/>
  <c r="B91" i="4"/>
  <c r="L91" i="4"/>
  <c r="K91" i="4"/>
  <c r="J91" i="4"/>
  <c r="C91" i="4"/>
  <c r="O91" i="4"/>
  <c r="N91" i="4"/>
  <c r="M91" i="4"/>
  <c r="I91" i="4"/>
  <c r="H91" i="4"/>
  <c r="G91" i="4"/>
  <c r="P91" i="4"/>
  <c r="A21" i="5" l="1"/>
  <c r="D81" i="5"/>
  <c r="AZ81" i="5"/>
  <c r="T81" i="5" s="1" a="1"/>
  <c r="T81" i="5" s="1"/>
  <c r="D25" i="5"/>
  <c r="AZ25" i="5"/>
  <c r="T25" i="5" s="1" a="1"/>
  <c r="T25" i="5" s="1"/>
  <c r="D67" i="5"/>
  <c r="AZ67" i="5"/>
  <c r="T67" i="5" s="1" a="1"/>
  <c r="T67" i="5" s="1"/>
  <c r="D88" i="5"/>
  <c r="AZ88" i="5"/>
  <c r="T88" i="5" s="1" a="1"/>
  <c r="T88" i="5" s="1"/>
  <c r="AZ46" i="5"/>
  <c r="T46" i="5" s="1" a="1"/>
  <c r="T46" i="5" s="1"/>
  <c r="D46" i="5"/>
  <c r="D100" i="5"/>
  <c r="AZ100" i="5"/>
  <c r="T100" i="5" s="1" a="1"/>
  <c r="T100" i="5" s="1"/>
  <c r="D59" i="5"/>
  <c r="AZ59" i="5"/>
  <c r="T59" i="5" s="1" a="1"/>
  <c r="T59" i="5" s="1"/>
  <c r="D52" i="5"/>
  <c r="AZ52" i="5"/>
  <c r="T52" i="5" s="1" a="1"/>
  <c r="T52" i="5" s="1"/>
  <c r="D76" i="5"/>
  <c r="AZ76" i="5"/>
  <c r="T76" i="5" s="1" a="1"/>
  <c r="T76" i="5" s="1"/>
  <c r="D38" i="5"/>
  <c r="AZ38" i="5"/>
  <c r="T38" i="5" s="1" a="1"/>
  <c r="T38" i="5" s="1"/>
  <c r="D39" i="5"/>
  <c r="AZ39" i="5"/>
  <c r="T39" i="5" s="1" a="1"/>
  <c r="T39" i="5" s="1"/>
  <c r="T62" i="5" a="1"/>
  <c r="T62" i="5" s="1"/>
  <c r="H92" i="4"/>
  <c r="H93" i="4" s="1"/>
  <c r="G92" i="4"/>
  <c r="G93" i="4" s="1"/>
  <c r="M92" i="4"/>
  <c r="M93" i="4" s="1"/>
  <c r="J92" i="4"/>
  <c r="J93" i="4" s="1"/>
  <c r="I92" i="4"/>
  <c r="I93" i="4" s="1"/>
  <c r="F92" i="4"/>
  <c r="F93" i="4" s="1"/>
  <c r="C92" i="4"/>
  <c r="C93" i="4" s="1"/>
  <c r="B92" i="4"/>
  <c r="B93" i="4" s="1"/>
  <c r="E92" i="4"/>
  <c r="E93" i="4" s="1"/>
  <c r="D92" i="4"/>
  <c r="D93" i="4" s="1"/>
  <c r="P92" i="4"/>
  <c r="P93" i="4" s="1"/>
  <c r="O92" i="4"/>
  <c r="N92" i="4"/>
  <c r="L92" i="4"/>
  <c r="L93" i="4" s="1"/>
  <c r="K92" i="4"/>
  <c r="K93" i="4" s="1"/>
  <c r="T120" i="5" l="1" a="1"/>
  <c r="T120" i="5" s="1"/>
  <c r="T31" i="5" a="1"/>
  <c r="T31" i="5" s="1"/>
  <c r="T115" i="5" a="1"/>
  <c r="T115" i="5" s="1"/>
  <c r="T48" i="5" a="1"/>
  <c r="T48" i="5" s="1"/>
  <c r="T50" i="5" a="1"/>
  <c r="T50" i="5" s="1"/>
  <c r="A22" i="5"/>
  <c r="T60" i="5" a="1"/>
  <c r="T60" i="5" s="1"/>
  <c r="T114" i="5" a="1"/>
  <c r="T114" i="5" s="1"/>
  <c r="T71" i="5" a="1"/>
  <c r="T71" i="5" s="1"/>
  <c r="T35" i="5" a="1"/>
  <c r="T35" i="5" s="1"/>
  <c r="T112" i="5" a="1"/>
  <c r="T112" i="5" s="1"/>
  <c r="T87" i="5" a="1"/>
  <c r="T87" i="5" s="1"/>
  <c r="T63" i="5" a="1"/>
  <c r="T63" i="5" s="1"/>
  <c r="T37" i="5" a="1"/>
  <c r="T37" i="5" s="1"/>
  <c r="T61" i="5" a="1"/>
  <c r="T61" i="5" s="1"/>
  <c r="T55" i="5" a="1"/>
  <c r="T55" i="5" s="1"/>
  <c r="T122" i="5" a="1"/>
  <c r="T122" i="5" s="1"/>
  <c r="T111" i="5" a="1"/>
  <c r="T111" i="5" s="1"/>
  <c r="T54" i="5" a="1"/>
  <c r="T54" i="5" s="1"/>
  <c r="T82" i="5" a="1"/>
  <c r="T82" i="5" s="1"/>
  <c r="T72" i="5" a="1"/>
  <c r="T72" i="5" s="1"/>
  <c r="T65" i="5" a="1"/>
  <c r="T65" i="5" s="1"/>
  <c r="T33" i="5" a="1"/>
  <c r="T33" i="5" s="1"/>
  <c r="T86" i="5" a="1"/>
  <c r="T86" i="5" s="1"/>
  <c r="T75" i="5" a="1"/>
  <c r="T75" i="5" s="1"/>
  <c r="T104" i="5" a="1"/>
  <c r="T104" i="5" s="1"/>
  <c r="T89" i="5" a="1"/>
  <c r="T89" i="5" s="1"/>
  <c r="T116" i="5" a="1"/>
  <c r="T116" i="5" s="1"/>
  <c r="T73" i="5" a="1"/>
  <c r="T73" i="5" s="1"/>
  <c r="T40" i="5" a="1"/>
  <c r="T40" i="5" s="1"/>
  <c r="T123" i="5" a="1"/>
  <c r="T123" i="5" s="1"/>
  <c r="T97" i="5" a="1"/>
  <c r="T97" i="5" s="1"/>
  <c r="T68" i="5" a="1"/>
  <c r="T68" i="5" s="1"/>
  <c r="T64" i="5" a="1"/>
  <c r="T64" i="5" s="1"/>
  <c r="T78" i="5" a="1"/>
  <c r="T78" i="5" s="1"/>
  <c r="T105" i="5" a="1"/>
  <c r="T105" i="5" s="1"/>
  <c r="T83" i="5" a="1"/>
  <c r="T83" i="5" s="1"/>
  <c r="T57" i="5" a="1"/>
  <c r="T57" i="5" s="1"/>
  <c r="T80" i="5" a="1"/>
  <c r="T80" i="5" s="1"/>
  <c r="T106" i="5" a="1"/>
  <c r="T106" i="5" s="1"/>
  <c r="T124" i="5" a="1"/>
  <c r="T124" i="5" s="1"/>
  <c r="T34" i="5" a="1"/>
  <c r="T34" i="5" s="1"/>
  <c r="T29" i="5" a="1"/>
  <c r="T29" i="5" s="1"/>
  <c r="T44" i="5" a="1"/>
  <c r="T44" i="5" s="1"/>
  <c r="T98" i="5" a="1"/>
  <c r="T98" i="5" s="1"/>
  <c r="T107" i="5" a="1"/>
  <c r="T107" i="5" s="1"/>
  <c r="T101" i="5" a="1"/>
  <c r="T101" i="5" s="1"/>
  <c r="T74" i="5" a="1"/>
  <c r="T74" i="5" s="1"/>
  <c r="T32" i="5" a="1"/>
  <c r="T32" i="5" s="1"/>
  <c r="T108" i="5" a="1"/>
  <c r="T108" i="5" s="1"/>
  <c r="T79" i="5" a="1"/>
  <c r="T79" i="5" s="1"/>
  <c r="T85" i="5" a="1"/>
  <c r="T85" i="5" s="1"/>
  <c r="T53" i="5" a="1"/>
  <c r="T53" i="5" s="1"/>
  <c r="T66" i="5" a="1"/>
  <c r="T66" i="5" s="1"/>
  <c r="T47" i="5" a="1"/>
  <c r="T47" i="5" s="1"/>
  <c r="T121" i="5" a="1"/>
  <c r="T121" i="5" s="1"/>
  <c r="T45" i="5" a="1"/>
  <c r="T45" i="5" s="1"/>
  <c r="T96" i="5" a="1"/>
  <c r="T96" i="5" s="1"/>
  <c r="T58" i="5" a="1"/>
  <c r="T58" i="5" s="1"/>
  <c r="T42" i="5" a="1"/>
  <c r="T42" i="5" s="1"/>
  <c r="T27" i="5" a="1"/>
  <c r="T27" i="5" s="1"/>
  <c r="T94" i="5" a="1"/>
  <c r="T94" i="5" s="1"/>
  <c r="T110" i="5" a="1"/>
  <c r="T110" i="5" s="1"/>
  <c r="T90" i="5" a="1"/>
  <c r="T90" i="5" s="1"/>
  <c r="T43" i="5" a="1"/>
  <c r="T43" i="5" s="1"/>
  <c r="T51" i="5" a="1"/>
  <c r="T51" i="5" s="1"/>
  <c r="T117" i="5" a="1"/>
  <c r="T117" i="5" s="1"/>
  <c r="T113" i="5" a="1"/>
  <c r="T113" i="5" s="1"/>
  <c r="T91" i="5" a="1"/>
  <c r="T91" i="5" s="1"/>
  <c r="T92" i="5" a="1"/>
  <c r="T92" i="5" s="1"/>
  <c r="T103" i="5" a="1"/>
  <c r="T103" i="5" s="1"/>
  <c r="T41" i="5" a="1"/>
  <c r="T41" i="5" s="1"/>
  <c r="T26" i="5" a="1"/>
  <c r="T26" i="5" s="1"/>
  <c r="T21" i="5" s="1"/>
  <c r="T56" i="5" a="1"/>
  <c r="T56" i="5" s="1"/>
  <c r="T93" i="5" a="1"/>
  <c r="T93" i="5" s="1"/>
  <c r="T23" i="5" l="1"/>
  <c r="T22" i="5"/>
  <c r="AJ28" i="5" l="1"/>
  <c r="BA28" i="5" s="1"/>
  <c r="U28" i="5" s="1" a="1"/>
  <c r="U28" i="5" s="1"/>
  <c r="AJ46" i="5"/>
  <c r="BA46" i="5" s="1"/>
  <c r="U46" i="5" s="1" a="1"/>
  <c r="U46" i="5" s="1"/>
  <c r="AJ72" i="5"/>
  <c r="BA72" i="5" s="1"/>
  <c r="AJ80" i="5"/>
  <c r="BA80" i="5" s="1"/>
  <c r="AJ42" i="5"/>
  <c r="BA42" i="5" s="1"/>
  <c r="AJ86" i="5"/>
  <c r="BA86" i="5" s="1"/>
  <c r="AJ99" i="5"/>
  <c r="BA99" i="5" s="1"/>
  <c r="U99" i="5" s="1" a="1"/>
  <c r="U99" i="5" s="1"/>
  <c r="AJ48" i="5"/>
  <c r="BA48" i="5" s="1"/>
  <c r="AJ53" i="5"/>
  <c r="BA53" i="5" s="1"/>
  <c r="AJ92" i="5"/>
  <c r="AJ124" i="5"/>
  <c r="BA124" i="5" s="1"/>
  <c r="AJ44" i="5"/>
  <c r="BA44" i="5" s="1"/>
  <c r="AJ79" i="5"/>
  <c r="BA79" i="5" s="1"/>
  <c r="AJ59" i="5"/>
  <c r="BA59" i="5" s="1"/>
  <c r="U59" i="5" s="1" a="1"/>
  <c r="U59" i="5" s="1"/>
  <c r="AJ66" i="5"/>
  <c r="BA66" i="5" s="1"/>
  <c r="AJ87" i="5"/>
  <c r="AJ110" i="5"/>
  <c r="BA110" i="5" s="1"/>
  <c r="AJ56" i="5"/>
  <c r="BA56" i="5" s="1"/>
  <c r="AJ36" i="5"/>
  <c r="BA36" i="5" s="1"/>
  <c r="U36" i="5" s="1" a="1"/>
  <c r="U36" i="5" s="1"/>
  <c r="AJ32" i="5"/>
  <c r="BA32" i="5" s="1"/>
  <c r="AJ38" i="5"/>
  <c r="BA38" i="5" s="1"/>
  <c r="U38" i="5" s="1" a="1"/>
  <c r="U38" i="5" s="1"/>
  <c r="AJ73" i="5"/>
  <c r="BA73" i="5" s="1"/>
  <c r="AJ67" i="5"/>
  <c r="BA67" i="5" s="1"/>
  <c r="U67" i="5" s="1" a="1"/>
  <c r="U67" i="5" s="1"/>
  <c r="AJ43" i="5"/>
  <c r="BA43" i="5" s="1"/>
  <c r="AJ109" i="5"/>
  <c r="BA109" i="5" s="1"/>
  <c r="U109" i="5" s="1" a="1"/>
  <c r="U109" i="5" s="1"/>
  <c r="AJ71" i="5"/>
  <c r="BA71" i="5" s="1"/>
  <c r="AJ96" i="5"/>
  <c r="BA96" i="5" s="1"/>
  <c r="AJ88" i="5"/>
  <c r="BA88" i="5" s="1"/>
  <c r="U88" i="5" s="1" a="1"/>
  <c r="U88" i="5" s="1"/>
  <c r="AJ83" i="5"/>
  <c r="AJ60" i="5"/>
  <c r="BA60" i="5" s="1"/>
  <c r="AJ94" i="5"/>
  <c r="BA94" i="5" s="1"/>
  <c r="AJ104" i="5"/>
  <c r="BA104" i="5" s="1"/>
  <c r="AJ114" i="5"/>
  <c r="BA114" i="5" s="1"/>
  <c r="AJ107" i="5"/>
  <c r="BA107" i="5" s="1"/>
  <c r="AJ81" i="5"/>
  <c r="BA81" i="5" s="1"/>
  <c r="U81" i="5" s="1" a="1"/>
  <c r="U81" i="5" s="1"/>
  <c r="AJ54" i="5"/>
  <c r="BA54" i="5" s="1"/>
  <c r="AJ39" i="5"/>
  <c r="BA39" i="5" s="1"/>
  <c r="U39" i="5" s="1" a="1"/>
  <c r="U39" i="5" s="1"/>
  <c r="AJ82" i="5"/>
  <c r="BA82" i="5" s="1"/>
  <c r="AJ97" i="5"/>
  <c r="BA97" i="5" s="1"/>
  <c r="AJ119" i="5"/>
  <c r="BA119" i="5" s="1"/>
  <c r="U119" i="5" s="1" a="1"/>
  <c r="U119" i="5" s="1"/>
  <c r="AJ41" i="5"/>
  <c r="AJ52" i="5"/>
  <c r="BA52" i="5" s="1"/>
  <c r="U52" i="5" s="1" a="1"/>
  <c r="U52" i="5" s="1"/>
  <c r="AJ121" i="5"/>
  <c r="BA121" i="5" s="1"/>
  <c r="AJ55" i="5"/>
  <c r="AJ26" i="5"/>
  <c r="BA26" i="5" s="1"/>
  <c r="AJ34" i="5"/>
  <c r="BA34" i="5" s="1"/>
  <c r="AJ69" i="5"/>
  <c r="BA69" i="5" s="1"/>
  <c r="U69" i="5" s="1" a="1"/>
  <c r="U69" i="5" s="1"/>
  <c r="AJ75" i="5"/>
  <c r="BA75" i="5" s="1"/>
  <c r="AJ45" i="5"/>
  <c r="BA45" i="5" s="1"/>
  <c r="AJ62" i="5"/>
  <c r="BA62" i="5" s="1"/>
  <c r="AJ35" i="5"/>
  <c r="BA35" i="5" s="1"/>
  <c r="AJ106" i="5"/>
  <c r="BA106" i="5" s="1"/>
  <c r="AJ58" i="5"/>
  <c r="BA58" i="5" s="1"/>
  <c r="AJ57" i="5"/>
  <c r="BA57" i="5" s="1"/>
  <c r="AJ108" i="5"/>
  <c r="BA108" i="5" s="1"/>
  <c r="AJ47" i="5"/>
  <c r="AJ65" i="5"/>
  <c r="BA65" i="5" s="1"/>
  <c r="AJ90" i="5"/>
  <c r="BA90" i="5" s="1"/>
  <c r="AJ101" i="5"/>
  <c r="BA101" i="5" s="1"/>
  <c r="AJ102" i="5"/>
  <c r="BA102" i="5" s="1"/>
  <c r="U102" i="5" s="1" a="1"/>
  <c r="U102" i="5" s="1"/>
  <c r="AJ76" i="5"/>
  <c r="BA76" i="5" s="1"/>
  <c r="U76" i="5" s="1" a="1"/>
  <c r="U76" i="5" s="1"/>
  <c r="AJ78" i="5"/>
  <c r="BA78" i="5" s="1"/>
  <c r="AJ77" i="5"/>
  <c r="BA77" i="5" s="1"/>
  <c r="U77" i="5" s="1" a="1"/>
  <c r="U77" i="5" s="1"/>
  <c r="AJ120" i="5"/>
  <c r="BA120" i="5" s="1"/>
  <c r="AJ105" i="5"/>
  <c r="BA105" i="5" s="1"/>
  <c r="AJ50" i="5"/>
  <c r="BA50" i="5" s="1"/>
  <c r="AJ123" i="5"/>
  <c r="BA123" i="5" s="1"/>
  <c r="AJ49" i="5"/>
  <c r="BA49" i="5" s="1"/>
  <c r="U49" i="5" s="1" a="1"/>
  <c r="U49" i="5" s="1"/>
  <c r="AJ74" i="5"/>
  <c r="AJ61" i="5"/>
  <c r="BA61" i="5" s="1"/>
  <c r="AJ116" i="5"/>
  <c r="BA116" i="5" s="1"/>
  <c r="AJ64" i="5"/>
  <c r="BA64" i="5" s="1"/>
  <c r="AJ37" i="5"/>
  <c r="BA37" i="5" s="1"/>
  <c r="AJ95" i="5"/>
  <c r="BA95" i="5" s="1"/>
  <c r="U95" i="5" s="1" a="1"/>
  <c r="U95" i="5" s="1"/>
  <c r="AJ29" i="5"/>
  <c r="BA29" i="5" s="1"/>
  <c r="AJ68" i="5"/>
  <c r="BA68" i="5" s="1"/>
  <c r="AJ40" i="5"/>
  <c r="BA40" i="5" s="1"/>
  <c r="AJ25" i="5"/>
  <c r="BA25" i="5" s="1"/>
  <c r="U25" i="5" s="1" a="1"/>
  <c r="U25" i="5" s="1"/>
  <c r="AJ89" i="5"/>
  <c r="BA89" i="5" s="1"/>
  <c r="AJ113" i="5"/>
  <c r="BA113" i="5" s="1"/>
  <c r="AJ84" i="5"/>
  <c r="BA84" i="5" s="1"/>
  <c r="U84" i="5" s="1" a="1"/>
  <c r="U84" i="5" s="1"/>
  <c r="AJ31" i="5"/>
  <c r="BA31" i="5" s="1"/>
  <c r="AJ27" i="5"/>
  <c r="BA27" i="5" s="1"/>
  <c r="AJ122" i="5"/>
  <c r="AJ85" i="5"/>
  <c r="BA85" i="5" s="1"/>
  <c r="AJ63" i="5"/>
  <c r="BA63" i="5" s="1"/>
  <c r="AJ30" i="5"/>
  <c r="BA30" i="5" s="1"/>
  <c r="U30" i="5" s="1" a="1"/>
  <c r="U30" i="5" s="1"/>
  <c r="AJ33" i="5"/>
  <c r="BA33" i="5" s="1"/>
  <c r="AJ93" i="5"/>
  <c r="BA93" i="5" s="1"/>
  <c r="AJ91" i="5"/>
  <c r="BA91" i="5" s="1"/>
  <c r="AJ112" i="5"/>
  <c r="BA112" i="5" s="1"/>
  <c r="AJ115" i="5"/>
  <c r="BA115" i="5" s="1"/>
  <c r="AJ118" i="5"/>
  <c r="BA118" i="5" s="1"/>
  <c r="U118" i="5" s="1" a="1"/>
  <c r="U118" i="5" s="1"/>
  <c r="AJ98" i="5"/>
  <c r="BA98" i="5" s="1"/>
  <c r="AJ100" i="5"/>
  <c r="BA100" i="5" s="1"/>
  <c r="U100" i="5" s="1" a="1"/>
  <c r="U100" i="5" s="1"/>
  <c r="AJ51" i="5"/>
  <c r="BA51" i="5" s="1"/>
  <c r="AJ117" i="5"/>
  <c r="BA117" i="5" s="1"/>
  <c r="AJ103" i="5"/>
  <c r="AJ70" i="5"/>
  <c r="BA70" i="5" s="1"/>
  <c r="U70" i="5" s="1" a="1"/>
  <c r="U70" i="5" s="1"/>
  <c r="AJ111" i="5"/>
  <c r="BA111" i="5" s="1"/>
  <c r="D87" i="5" l="1"/>
  <c r="BA87" i="5"/>
  <c r="U87" i="5" s="1" a="1"/>
  <c r="U87" i="5" s="1"/>
  <c r="BA83" i="5"/>
  <c r="U83" i="5" s="1" a="1"/>
  <c r="U83" i="5" s="1"/>
  <c r="D83" i="5"/>
  <c r="D55" i="5"/>
  <c r="BA55" i="5"/>
  <c r="U55" i="5" s="1" a="1"/>
  <c r="U55" i="5" s="1"/>
  <c r="BA92" i="5"/>
  <c r="U92" i="5" s="1" a="1"/>
  <c r="U92" i="5" s="1"/>
  <c r="D92" i="5"/>
  <c r="D41" i="5"/>
  <c r="BA41" i="5"/>
  <c r="U116" i="5" s="1" a="1"/>
  <c r="U116" i="5" s="1"/>
  <c r="BA47" i="5"/>
  <c r="U47" i="5" s="1" a="1"/>
  <c r="U47" i="5" s="1"/>
  <c r="D47" i="5"/>
  <c r="U105" i="5" a="1"/>
  <c r="U105" i="5" s="1"/>
  <c r="D74" i="5"/>
  <c r="BA74" i="5"/>
  <c r="U74" i="5" s="1" a="1"/>
  <c r="U74" i="5" s="1"/>
  <c r="D122" i="5"/>
  <c r="BA122" i="5"/>
  <c r="U122" i="5" s="1" a="1"/>
  <c r="U122" i="5" s="1"/>
  <c r="D103" i="5"/>
  <c r="BA103" i="5"/>
  <c r="U103" i="5" s="1" a="1"/>
  <c r="U103" i="5" s="1"/>
  <c r="U91" i="5" a="1"/>
  <c r="U91" i="5" s="1"/>
  <c r="U27" i="5" l="1" a="1"/>
  <c r="U27" i="5" s="1"/>
  <c r="U64" i="5" a="1"/>
  <c r="U64" i="5" s="1"/>
  <c r="U97" i="5" a="1"/>
  <c r="U97" i="5" s="1"/>
  <c r="U63" i="5" a="1"/>
  <c r="U63" i="5" s="1"/>
  <c r="U56" i="5" a="1"/>
  <c r="U56" i="5" s="1"/>
  <c r="U110" i="5" a="1"/>
  <c r="U110" i="5" s="1"/>
  <c r="U113" i="5" a="1"/>
  <c r="U113" i="5" s="1"/>
  <c r="U31" i="5" a="1"/>
  <c r="U31" i="5" s="1"/>
  <c r="U34" i="5" a="1"/>
  <c r="U34" i="5" s="1"/>
  <c r="U86" i="5" a="1"/>
  <c r="U86" i="5" s="1"/>
  <c r="U58" i="5" a="1"/>
  <c r="U58" i="5" s="1"/>
  <c r="U60" i="5" a="1"/>
  <c r="U60" i="5" s="1"/>
  <c r="U51" i="5" a="1"/>
  <c r="U51" i="5" s="1"/>
  <c r="U96" i="5" a="1"/>
  <c r="U96" i="5" s="1"/>
  <c r="U72" i="5" a="1"/>
  <c r="U72" i="5" s="1"/>
  <c r="U112" i="5" a="1"/>
  <c r="U112" i="5" s="1"/>
  <c r="U54" i="5" a="1"/>
  <c r="U54" i="5" s="1"/>
  <c r="U73" i="5" a="1"/>
  <c r="U73" i="5" s="1"/>
  <c r="U93" i="5" a="1"/>
  <c r="U93" i="5" s="1"/>
  <c r="U45" i="5" a="1"/>
  <c r="U45" i="5" s="1"/>
  <c r="U62" i="5" a="1"/>
  <c r="U62" i="5" s="1"/>
  <c r="U44" i="5" a="1"/>
  <c r="U44" i="5" s="1"/>
  <c r="U78" i="5" a="1"/>
  <c r="U78" i="5" s="1"/>
  <c r="U35" i="5" a="1"/>
  <c r="U35" i="5" s="1"/>
  <c r="U65" i="5" a="1"/>
  <c r="U65" i="5" s="1"/>
  <c r="U80" i="5" a="1"/>
  <c r="U80" i="5" s="1"/>
  <c r="U114" i="5" a="1"/>
  <c r="U114" i="5" s="1"/>
  <c r="U98" i="5" a="1"/>
  <c r="U98" i="5" s="1"/>
  <c r="U124" i="5" a="1"/>
  <c r="U124" i="5" s="1"/>
  <c r="U40" i="5" a="1"/>
  <c r="U40" i="5" s="1"/>
  <c r="U41" i="5" a="1"/>
  <c r="U41" i="5" s="1"/>
  <c r="U123" i="5" a="1"/>
  <c r="U123" i="5" s="1"/>
  <c r="U50" i="5" a="1"/>
  <c r="U50" i="5" s="1"/>
  <c r="U43" i="5" a="1"/>
  <c r="U43" i="5" s="1"/>
  <c r="U32" i="5" a="1"/>
  <c r="U32" i="5" s="1"/>
  <c r="U61" i="5" a="1"/>
  <c r="U61" i="5" s="1"/>
  <c r="U106" i="5" a="1"/>
  <c r="U106" i="5" s="1"/>
  <c r="U108" i="5" a="1"/>
  <c r="U108" i="5" s="1"/>
  <c r="U82" i="5" a="1"/>
  <c r="U82" i="5" s="1"/>
  <c r="U94" i="5" a="1"/>
  <c r="U94" i="5" s="1"/>
  <c r="U71" i="5" a="1"/>
  <c r="U71" i="5" s="1"/>
  <c r="U68" i="5" a="1"/>
  <c r="U68" i="5" s="1"/>
  <c r="U29" i="5" a="1"/>
  <c r="U29" i="5" s="1"/>
  <c r="U53" i="5" a="1"/>
  <c r="U53" i="5" s="1"/>
  <c r="U33" i="5" a="1"/>
  <c r="U33" i="5" s="1"/>
  <c r="U89" i="5" a="1"/>
  <c r="U89" i="5" s="1"/>
  <c r="U117" i="5" a="1"/>
  <c r="U117" i="5" s="1"/>
  <c r="U121" i="5" a="1"/>
  <c r="U121" i="5" s="1"/>
  <c r="U111" i="5" a="1"/>
  <c r="U111" i="5" s="1"/>
  <c r="U57" i="5" a="1"/>
  <c r="U57" i="5" s="1"/>
  <c r="U120" i="5" a="1"/>
  <c r="U120" i="5" s="1"/>
  <c r="U90" i="5" a="1"/>
  <c r="U90" i="5" s="1"/>
  <c r="U107" i="5" a="1"/>
  <c r="U107" i="5" s="1"/>
  <c r="U42" i="5" a="1"/>
  <c r="U42" i="5" s="1"/>
  <c r="U115" i="5" a="1"/>
  <c r="U115" i="5" s="1"/>
  <c r="U79" i="5" a="1"/>
  <c r="U79" i="5" s="1"/>
  <c r="U48" i="5" a="1"/>
  <c r="U48" i="5" s="1"/>
  <c r="U66" i="5" a="1"/>
  <c r="U66" i="5" s="1"/>
  <c r="U26" i="5" a="1"/>
  <c r="U26" i="5" s="1"/>
  <c r="U37" i="5" a="1"/>
  <c r="U37" i="5" s="1"/>
  <c r="U101" i="5" a="1"/>
  <c r="U101" i="5" s="1"/>
  <c r="U75" i="5" a="1"/>
  <c r="U75" i="5" s="1"/>
  <c r="U85" i="5" a="1"/>
  <c r="U85" i="5" s="1"/>
  <c r="U104" i="5" a="1"/>
  <c r="U104" i="5" s="1"/>
  <c r="U21" i="5" l="1"/>
  <c r="U22" i="5" l="1"/>
  <c r="U23" i="5"/>
  <c r="AK118" i="5" l="1"/>
  <c r="BB118" i="5" s="1"/>
  <c r="V118" i="5" s="1" a="1"/>
  <c r="V118" i="5" s="1"/>
  <c r="AK65" i="5"/>
  <c r="BB65" i="5" s="1"/>
  <c r="AK101" i="5"/>
  <c r="AK66" i="5"/>
  <c r="BB66" i="5" s="1"/>
  <c r="AK78" i="5"/>
  <c r="BB78" i="5" s="1"/>
  <c r="AK57" i="5"/>
  <c r="BB57" i="5" s="1"/>
  <c r="AK81" i="5"/>
  <c r="BB81" i="5" s="1"/>
  <c r="V81" i="5" s="1" a="1"/>
  <c r="V81" i="5" s="1"/>
  <c r="AK85" i="5"/>
  <c r="BB85" i="5" s="1"/>
  <c r="AK72" i="5"/>
  <c r="BB72" i="5" s="1"/>
  <c r="AK86" i="5"/>
  <c r="BB86" i="5" s="1"/>
  <c r="AK29" i="5"/>
  <c r="AK93" i="5"/>
  <c r="BB93" i="5" s="1"/>
  <c r="AK77" i="5"/>
  <c r="BB77" i="5" s="1"/>
  <c r="V77" i="5" s="1" a="1"/>
  <c r="V77" i="5" s="1"/>
  <c r="AK107" i="5"/>
  <c r="BB107" i="5" s="1"/>
  <c r="AK32" i="5"/>
  <c r="AK34" i="5"/>
  <c r="BB34" i="5" s="1"/>
  <c r="AK104" i="5"/>
  <c r="BB104" i="5" s="1"/>
  <c r="AK124" i="5"/>
  <c r="BB124" i="5" s="1"/>
  <c r="AK70" i="5"/>
  <c r="BB70" i="5" s="1"/>
  <c r="V70" i="5" s="1" a="1"/>
  <c r="V70" i="5" s="1"/>
  <c r="AK80" i="5"/>
  <c r="BB80" i="5" s="1"/>
  <c r="AK68" i="5"/>
  <c r="AK53" i="5"/>
  <c r="BB53" i="5" s="1"/>
  <c r="AK41" i="5"/>
  <c r="BB41" i="5" s="1"/>
  <c r="V41" i="5" s="1" a="1"/>
  <c r="V41" i="5" s="1"/>
  <c r="AK51" i="5"/>
  <c r="BB51" i="5" s="1"/>
  <c r="AK28" i="5"/>
  <c r="BB28" i="5" s="1"/>
  <c r="V28" i="5" s="1" a="1"/>
  <c r="V28" i="5" s="1"/>
  <c r="AK114" i="5"/>
  <c r="BB114" i="5" s="1"/>
  <c r="AK83" i="5"/>
  <c r="BB83" i="5" s="1"/>
  <c r="V83" i="5" s="1" a="1"/>
  <c r="V83" i="5" s="1"/>
  <c r="AK117" i="5"/>
  <c r="BB117" i="5" s="1"/>
  <c r="AK56" i="5"/>
  <c r="BB56" i="5" s="1"/>
  <c r="AK115" i="5"/>
  <c r="BB115" i="5" s="1"/>
  <c r="AK46" i="5"/>
  <c r="BB46" i="5" s="1"/>
  <c r="V46" i="5" s="1" a="1"/>
  <c r="V46" i="5" s="1"/>
  <c r="AK99" i="5"/>
  <c r="BB99" i="5" s="1"/>
  <c r="V99" i="5" s="1" a="1"/>
  <c r="V99" i="5" s="1"/>
  <c r="AK116" i="5"/>
  <c r="BB116" i="5" s="1"/>
  <c r="AK45" i="5"/>
  <c r="BB45" i="5" s="1"/>
  <c r="AK61" i="5"/>
  <c r="BB61" i="5" s="1"/>
  <c r="AK97" i="5"/>
  <c r="BB97" i="5" s="1"/>
  <c r="AK102" i="5"/>
  <c r="BB102" i="5" s="1"/>
  <c r="V102" i="5" s="1" a="1"/>
  <c r="V102" i="5" s="1"/>
  <c r="AK62" i="5"/>
  <c r="BB62" i="5" s="1"/>
  <c r="AK31" i="5"/>
  <c r="BB31" i="5" s="1"/>
  <c r="AK122" i="5"/>
  <c r="BB122" i="5" s="1"/>
  <c r="V122" i="5" s="1" a="1"/>
  <c r="V122" i="5" s="1"/>
  <c r="AK42" i="5"/>
  <c r="BB42" i="5" s="1"/>
  <c r="AK103" i="5"/>
  <c r="BB103" i="5" s="1"/>
  <c r="V103" i="5" s="1" a="1"/>
  <c r="V103" i="5" s="1"/>
  <c r="AK76" i="5"/>
  <c r="BB76" i="5" s="1"/>
  <c r="V76" i="5" s="1" a="1"/>
  <c r="V76" i="5" s="1"/>
  <c r="AK100" i="5"/>
  <c r="BB100" i="5" s="1"/>
  <c r="V100" i="5" s="1" a="1"/>
  <c r="V100" i="5" s="1"/>
  <c r="AK79" i="5"/>
  <c r="BB79" i="5" s="1"/>
  <c r="AK40" i="5"/>
  <c r="AK89" i="5"/>
  <c r="BB89" i="5" s="1"/>
  <c r="AK105" i="5"/>
  <c r="BB105" i="5" s="1"/>
  <c r="AK88" i="5"/>
  <c r="BB88" i="5" s="1"/>
  <c r="V88" i="5" s="1" a="1"/>
  <c r="V88" i="5" s="1"/>
  <c r="AK63" i="5"/>
  <c r="BB63" i="5" s="1"/>
  <c r="AK113" i="5"/>
  <c r="BB113" i="5" s="1"/>
  <c r="AK73" i="5"/>
  <c r="BB73" i="5" s="1"/>
  <c r="AK121" i="5"/>
  <c r="AK87" i="5"/>
  <c r="BB87" i="5" s="1"/>
  <c r="V87" i="5" s="1" a="1"/>
  <c r="V87" i="5" s="1"/>
  <c r="AK109" i="5"/>
  <c r="BB109" i="5" s="1"/>
  <c r="V109" i="5" s="1" a="1"/>
  <c r="V109" i="5" s="1"/>
  <c r="AK95" i="5"/>
  <c r="BB95" i="5" s="1"/>
  <c r="V95" i="5" s="1" a="1"/>
  <c r="V95" i="5" s="1"/>
  <c r="AK55" i="5"/>
  <c r="BB55" i="5" s="1"/>
  <c r="V55" i="5" s="1" a="1"/>
  <c r="V55" i="5" s="1"/>
  <c r="AK44" i="5"/>
  <c r="BB44" i="5" s="1"/>
  <c r="AK91" i="5"/>
  <c r="BB91" i="5" s="1"/>
  <c r="AK112" i="5"/>
  <c r="BB112" i="5" s="1"/>
  <c r="AK74" i="5"/>
  <c r="BB74" i="5" s="1"/>
  <c r="V74" i="5" s="1" a="1"/>
  <c r="V74" i="5" s="1"/>
  <c r="AK48" i="5"/>
  <c r="BB48" i="5" s="1"/>
  <c r="AK90" i="5"/>
  <c r="BB90" i="5" s="1"/>
  <c r="AK37" i="5"/>
  <c r="AK25" i="5"/>
  <c r="BB25" i="5" s="1"/>
  <c r="V25" i="5" s="1" a="1"/>
  <c r="V25" i="5" s="1"/>
  <c r="AK108" i="5"/>
  <c r="BB108" i="5" s="1"/>
  <c r="AK47" i="5"/>
  <c r="BB47" i="5" s="1"/>
  <c r="V47" i="5" s="1" a="1"/>
  <c r="V47" i="5" s="1"/>
  <c r="AK71" i="5"/>
  <c r="BB71" i="5" s="1"/>
  <c r="AK36" i="5"/>
  <c r="BB36" i="5" s="1"/>
  <c r="V36" i="5" s="1" a="1"/>
  <c r="V36" i="5" s="1"/>
  <c r="AK67" i="5"/>
  <c r="BB67" i="5" s="1"/>
  <c r="V67" i="5" s="1" a="1"/>
  <c r="V67" i="5" s="1"/>
  <c r="AK54" i="5"/>
  <c r="BB54" i="5" s="1"/>
  <c r="AK120" i="5"/>
  <c r="BB120" i="5" s="1"/>
  <c r="AK110" i="5"/>
  <c r="BB110" i="5" s="1"/>
  <c r="AK33" i="5"/>
  <c r="BB33" i="5" s="1"/>
  <c r="AK30" i="5"/>
  <c r="BB30" i="5" s="1"/>
  <c r="V30" i="5" s="1" a="1"/>
  <c r="V30" i="5" s="1"/>
  <c r="AK84" i="5"/>
  <c r="BB84" i="5" s="1"/>
  <c r="V84" i="5" s="1" a="1"/>
  <c r="V84" i="5" s="1"/>
  <c r="AK58" i="5"/>
  <c r="BB58" i="5" s="1"/>
  <c r="AK35" i="5"/>
  <c r="BB35" i="5" s="1"/>
  <c r="AK69" i="5"/>
  <c r="BB69" i="5" s="1"/>
  <c r="V69" i="5" s="1" a="1"/>
  <c r="V69" i="5" s="1"/>
  <c r="AK82" i="5"/>
  <c r="BB82" i="5" s="1"/>
  <c r="AK98" i="5"/>
  <c r="BB98" i="5" s="1"/>
  <c r="AK38" i="5"/>
  <c r="BB38" i="5" s="1"/>
  <c r="V38" i="5" s="1" a="1"/>
  <c r="V38" i="5" s="1"/>
  <c r="AK59" i="5"/>
  <c r="BB59" i="5" s="1"/>
  <c r="V59" i="5" s="1" a="1"/>
  <c r="V59" i="5" s="1"/>
  <c r="AK75" i="5"/>
  <c r="BB75" i="5" s="1"/>
  <c r="AK123" i="5"/>
  <c r="BB123" i="5" s="1"/>
  <c r="AK106" i="5"/>
  <c r="BB106" i="5" s="1"/>
  <c r="AK96" i="5"/>
  <c r="BB96" i="5" s="1"/>
  <c r="AK50" i="5"/>
  <c r="BB50" i="5" s="1"/>
  <c r="AK52" i="5"/>
  <c r="BB52" i="5" s="1"/>
  <c r="V52" i="5" s="1" a="1"/>
  <c r="V52" i="5" s="1"/>
  <c r="AK119" i="5"/>
  <c r="BB119" i="5" s="1"/>
  <c r="V119" i="5" s="1" a="1"/>
  <c r="V119" i="5" s="1"/>
  <c r="AK60" i="5"/>
  <c r="BB60" i="5" s="1"/>
  <c r="AK26" i="5"/>
  <c r="BB26" i="5" s="1"/>
  <c r="AK27" i="5"/>
  <c r="BB27" i="5" s="1"/>
  <c r="AK64" i="5"/>
  <c r="BB64" i="5" s="1"/>
  <c r="AK39" i="5"/>
  <c r="BB39" i="5" s="1"/>
  <c r="V39" i="5" s="1" a="1"/>
  <c r="V39" i="5" s="1"/>
  <c r="AK49" i="5"/>
  <c r="BB49" i="5" s="1"/>
  <c r="V49" i="5" s="1" a="1"/>
  <c r="V49" i="5" s="1"/>
  <c r="AK111" i="5"/>
  <c r="BB111" i="5" s="1"/>
  <c r="AK43" i="5"/>
  <c r="AK94" i="5"/>
  <c r="BB94" i="5" s="1"/>
  <c r="AK92" i="5"/>
  <c r="BB92" i="5" s="1"/>
  <c r="V92" i="5" s="1" a="1"/>
  <c r="V92" i="5" s="1"/>
  <c r="D40" i="5" l="1"/>
  <c r="BB40" i="5"/>
  <c r="V40" i="5" s="1" a="1"/>
  <c r="V40" i="5" s="1"/>
  <c r="BB32" i="5"/>
  <c r="V32" i="5" s="1" a="1"/>
  <c r="V32" i="5" s="1"/>
  <c r="D32" i="5"/>
  <c r="D29" i="5"/>
  <c r="BB29" i="5"/>
  <c r="V29" i="5" s="1" a="1"/>
  <c r="V29" i="5" s="1"/>
  <c r="BB37" i="5"/>
  <c r="V37" i="5" s="1" a="1"/>
  <c r="V37" i="5" s="1"/>
  <c r="D37" i="5"/>
  <c r="D121" i="5"/>
  <c r="BB121" i="5"/>
  <c r="V121" i="5" s="1" a="1"/>
  <c r="V121" i="5" s="1"/>
  <c r="D68" i="5"/>
  <c r="BB68" i="5"/>
  <c r="V68" i="5" s="1" a="1"/>
  <c r="V68" i="5" s="1"/>
  <c r="D101" i="5"/>
  <c r="BB101" i="5"/>
  <c r="V101" i="5" s="1" a="1"/>
  <c r="V101" i="5" s="1"/>
  <c r="BB43" i="5"/>
  <c r="V43" i="5" s="1" a="1"/>
  <c r="V43" i="5" s="1"/>
  <c r="D43" i="5"/>
  <c r="V85" i="5" l="1" a="1"/>
  <c r="V85" i="5" s="1"/>
  <c r="V60" i="5" a="1"/>
  <c r="V60" i="5" s="1"/>
  <c r="V51" i="5" a="1"/>
  <c r="V51" i="5" s="1"/>
  <c r="V93" i="5" a="1"/>
  <c r="V93" i="5" s="1"/>
  <c r="V120" i="5" a="1"/>
  <c r="V120" i="5" s="1"/>
  <c r="V113" i="5" a="1"/>
  <c r="V113" i="5" s="1"/>
  <c r="V115" i="5" a="1"/>
  <c r="V115" i="5" s="1"/>
  <c r="V50" i="5" a="1"/>
  <c r="V50" i="5" s="1"/>
  <c r="V112" i="5" a="1"/>
  <c r="V112" i="5" s="1"/>
  <c r="V106" i="5" a="1"/>
  <c r="V106" i="5" s="1"/>
  <c r="V110" i="5" a="1"/>
  <c r="V110" i="5" s="1"/>
  <c r="V94" i="5" a="1"/>
  <c r="V94" i="5" s="1"/>
  <c r="V105" i="5" a="1"/>
  <c r="V105" i="5" s="1"/>
  <c r="V90" i="5" a="1"/>
  <c r="V90" i="5" s="1"/>
  <c r="V123" i="5" a="1"/>
  <c r="V123" i="5" s="1"/>
  <c r="V57" i="5" a="1"/>
  <c r="V57" i="5" s="1"/>
  <c r="V72" i="5" a="1"/>
  <c r="V72" i="5" s="1"/>
  <c r="V53" i="5" a="1"/>
  <c r="V53" i="5" s="1"/>
  <c r="V86" i="5" a="1"/>
  <c r="V86" i="5" s="1"/>
  <c r="V89" i="5" a="1"/>
  <c r="V89" i="5" s="1"/>
  <c r="V61" i="5" a="1"/>
  <c r="V61" i="5" s="1"/>
  <c r="V114" i="5" a="1"/>
  <c r="V114" i="5" s="1"/>
  <c r="V56" i="5" a="1"/>
  <c r="V56" i="5" s="1"/>
  <c r="V44" i="5" a="1"/>
  <c r="V44" i="5" s="1"/>
  <c r="V79" i="5" a="1"/>
  <c r="V79" i="5" s="1"/>
  <c r="V108" i="5" a="1"/>
  <c r="V108" i="5" s="1"/>
  <c r="V58" i="5" a="1"/>
  <c r="V58" i="5" s="1"/>
  <c r="V117" i="5" a="1"/>
  <c r="V117" i="5" s="1"/>
  <c r="V75" i="5" a="1"/>
  <c r="V75" i="5" s="1"/>
  <c r="V26" i="5" a="1"/>
  <c r="V26" i="5" s="1"/>
  <c r="V80" i="5" a="1"/>
  <c r="V80" i="5" s="1"/>
  <c r="V48" i="5" a="1"/>
  <c r="V48" i="5" s="1"/>
  <c r="V111" i="5" a="1"/>
  <c r="V111" i="5" s="1"/>
  <c r="V96" i="5" a="1"/>
  <c r="V96" i="5" s="1"/>
  <c r="V97" i="5" a="1"/>
  <c r="V97" i="5" s="1"/>
  <c r="V78" i="5" a="1"/>
  <c r="V78" i="5" s="1"/>
  <c r="V27" i="5" a="1"/>
  <c r="V27" i="5" s="1"/>
  <c r="V64" i="5" a="1"/>
  <c r="V64" i="5" s="1"/>
  <c r="V104" i="5" a="1"/>
  <c r="V104" i="5" s="1"/>
  <c r="V71" i="5" a="1"/>
  <c r="V71" i="5" s="1"/>
  <c r="V33" i="5" a="1"/>
  <c r="V33" i="5" s="1"/>
  <c r="V45" i="5" a="1"/>
  <c r="V45" i="5" s="1"/>
  <c r="V35" i="5" a="1"/>
  <c r="V35" i="5" s="1"/>
  <c r="V116" i="5" a="1"/>
  <c r="V116" i="5" s="1"/>
  <c r="V98" i="5" a="1"/>
  <c r="V98" i="5" s="1"/>
  <c r="V66" i="5" a="1"/>
  <c r="V66" i="5" s="1"/>
  <c r="V42" i="5" a="1"/>
  <c r="V42" i="5" s="1"/>
  <c r="V63" i="5" a="1"/>
  <c r="V63" i="5" s="1"/>
  <c r="V107" i="5" a="1"/>
  <c r="V107" i="5" s="1"/>
  <c r="V62" i="5" a="1"/>
  <c r="V62" i="5" s="1"/>
  <c r="V73" i="5" a="1"/>
  <c r="V73" i="5" s="1"/>
  <c r="V31" i="5" a="1"/>
  <c r="V31" i="5" s="1"/>
  <c r="V54" i="5" a="1"/>
  <c r="V54" i="5" s="1"/>
  <c r="V65" i="5" a="1"/>
  <c r="V65" i="5" s="1"/>
  <c r="V124" i="5" a="1"/>
  <c r="V124" i="5" s="1"/>
  <c r="V82" i="5" a="1"/>
  <c r="V82" i="5" s="1"/>
  <c r="V91" i="5" a="1"/>
  <c r="V91" i="5" s="1"/>
  <c r="V34" i="5" a="1"/>
  <c r="V34" i="5" s="1"/>
  <c r="V21" i="5" l="1"/>
  <c r="V23" i="5" l="1"/>
  <c r="V22" i="5"/>
  <c r="AL109" i="5" l="1"/>
  <c r="BC109" i="5" s="1"/>
  <c r="W109" i="5" s="1" a="1"/>
  <c r="W109" i="5" s="1"/>
  <c r="AL25" i="5"/>
  <c r="BC25" i="5" s="1"/>
  <c r="W25" i="5" s="1" a="1"/>
  <c r="W25" i="5" s="1"/>
  <c r="AL63" i="5"/>
  <c r="BC63" i="5" s="1"/>
  <c r="AL68" i="5"/>
  <c r="BC68" i="5" s="1"/>
  <c r="W68" i="5" s="1" a="1"/>
  <c r="W68" i="5" s="1"/>
  <c r="AL106" i="5"/>
  <c r="BC106" i="5" s="1"/>
  <c r="AL99" i="5"/>
  <c r="BC99" i="5" s="1"/>
  <c r="W99" i="5" s="1" a="1"/>
  <c r="W99" i="5" s="1"/>
  <c r="AL76" i="5"/>
  <c r="BC76" i="5" s="1"/>
  <c r="W76" i="5" s="1" a="1"/>
  <c r="W76" i="5" s="1"/>
  <c r="AL31" i="5"/>
  <c r="BC31" i="5" s="1"/>
  <c r="AL104" i="5"/>
  <c r="BC104" i="5" s="1"/>
  <c r="AL108" i="5"/>
  <c r="BC108" i="5" s="1"/>
  <c r="AL44" i="5"/>
  <c r="BC44" i="5" s="1"/>
  <c r="AL84" i="5"/>
  <c r="BC84" i="5" s="1"/>
  <c r="W84" i="5" s="1" a="1"/>
  <c r="W84" i="5" s="1"/>
  <c r="AL119" i="5"/>
  <c r="BC119" i="5" s="1"/>
  <c r="W119" i="5" s="1" a="1"/>
  <c r="W119" i="5" s="1"/>
  <c r="AL26" i="5"/>
  <c r="BC26" i="5" s="1"/>
  <c r="AL111" i="5"/>
  <c r="BC111" i="5" s="1"/>
  <c r="AL27" i="5"/>
  <c r="BC27" i="5" s="1"/>
  <c r="AL71" i="5"/>
  <c r="BC71" i="5" s="1"/>
  <c r="AL88" i="5"/>
  <c r="BC88" i="5" s="1"/>
  <c r="W88" i="5" s="1" a="1"/>
  <c r="W88" i="5" s="1"/>
  <c r="AL90" i="5"/>
  <c r="BC90" i="5" s="1"/>
  <c r="AL93" i="5"/>
  <c r="BC93" i="5" s="1"/>
  <c r="AL50" i="5"/>
  <c r="BC50" i="5" s="1"/>
  <c r="AL69" i="5"/>
  <c r="BC69" i="5" s="1"/>
  <c r="W69" i="5" s="1" a="1"/>
  <c r="W69" i="5" s="1"/>
  <c r="AL39" i="5"/>
  <c r="BC39" i="5" s="1"/>
  <c r="W39" i="5" s="1" a="1"/>
  <c r="W39" i="5" s="1"/>
  <c r="AL75" i="5"/>
  <c r="BC75" i="5" s="1"/>
  <c r="AL54" i="5"/>
  <c r="BC54" i="5" s="1"/>
  <c r="AL120" i="5"/>
  <c r="BC120" i="5" s="1"/>
  <c r="AL36" i="5"/>
  <c r="BC36" i="5" s="1"/>
  <c r="W36" i="5" s="1" a="1"/>
  <c r="W36" i="5" s="1"/>
  <c r="AL122" i="5"/>
  <c r="BC122" i="5" s="1"/>
  <c r="W122" i="5" s="1" a="1"/>
  <c r="W122" i="5" s="1"/>
  <c r="AL29" i="5"/>
  <c r="BC29" i="5" s="1"/>
  <c r="W29" i="5" s="1" a="1"/>
  <c r="W29" i="5" s="1"/>
  <c r="AL60" i="5"/>
  <c r="BC60" i="5" s="1"/>
  <c r="AL115" i="5"/>
  <c r="BC115" i="5" s="1"/>
  <c r="AL110" i="5"/>
  <c r="BC110" i="5" s="1"/>
  <c r="AL47" i="5"/>
  <c r="BC47" i="5" s="1"/>
  <c r="W47" i="5" s="1" a="1"/>
  <c r="W47" i="5" s="1"/>
  <c r="AL74" i="5"/>
  <c r="BC74" i="5" s="1"/>
  <c r="W74" i="5" s="1" a="1"/>
  <c r="W74" i="5" s="1"/>
  <c r="AL112" i="5"/>
  <c r="BC112" i="5" s="1"/>
  <c r="AL72" i="5"/>
  <c r="BC72" i="5" s="1"/>
  <c r="AL66" i="5"/>
  <c r="BC66" i="5" s="1"/>
  <c r="AL116" i="5"/>
  <c r="BC116" i="5" s="1"/>
  <c r="AL59" i="5"/>
  <c r="BC59" i="5" s="1"/>
  <c r="W59" i="5" s="1" a="1"/>
  <c r="W59" i="5" s="1"/>
  <c r="AL92" i="5"/>
  <c r="BC92" i="5" s="1"/>
  <c r="W92" i="5" s="1" a="1"/>
  <c r="W92" i="5" s="1"/>
  <c r="AL61" i="5"/>
  <c r="BC61" i="5" s="1"/>
  <c r="AL51" i="5"/>
  <c r="BC51" i="5" s="1"/>
  <c r="AL124" i="5"/>
  <c r="BC124" i="5" s="1"/>
  <c r="AL97" i="5"/>
  <c r="BC97" i="5" s="1"/>
  <c r="AL107" i="5"/>
  <c r="BC107" i="5" s="1"/>
  <c r="AL52" i="5"/>
  <c r="BC52" i="5" s="1"/>
  <c r="W52" i="5" s="1" a="1"/>
  <c r="W52" i="5" s="1"/>
  <c r="AL30" i="5"/>
  <c r="BC30" i="5" s="1"/>
  <c r="W30" i="5" s="1" a="1"/>
  <c r="W30" i="5" s="1"/>
  <c r="AL89" i="5"/>
  <c r="BC89" i="5" s="1"/>
  <c r="AL32" i="5"/>
  <c r="BC32" i="5" s="1"/>
  <c r="W32" i="5" s="1" a="1"/>
  <c r="W32" i="5" s="1"/>
  <c r="AL96" i="5"/>
  <c r="AL113" i="5"/>
  <c r="BC113" i="5" s="1"/>
  <c r="AL41" i="5"/>
  <c r="BC41" i="5" s="1"/>
  <c r="W41" i="5" s="1" a="1"/>
  <c r="W41" i="5" s="1"/>
  <c r="AL77" i="5"/>
  <c r="BC77" i="5" s="1"/>
  <c r="W77" i="5" s="1" a="1"/>
  <c r="W77" i="5" s="1"/>
  <c r="AL85" i="5"/>
  <c r="BC85" i="5" s="1"/>
  <c r="AL42" i="5"/>
  <c r="BC42" i="5" s="1"/>
  <c r="AL40" i="5"/>
  <c r="BC40" i="5" s="1"/>
  <c r="W40" i="5" s="1" a="1"/>
  <c r="W40" i="5" s="1"/>
  <c r="AL98" i="5"/>
  <c r="BC98" i="5" s="1"/>
  <c r="AL100" i="5"/>
  <c r="BC100" i="5" s="1"/>
  <c r="W100" i="5" s="1" a="1"/>
  <c r="W100" i="5" s="1"/>
  <c r="AL67" i="5"/>
  <c r="BC67" i="5" s="1"/>
  <c r="W67" i="5" s="1" a="1"/>
  <c r="W67" i="5" s="1"/>
  <c r="AL105" i="5"/>
  <c r="AL78" i="5"/>
  <c r="BC78" i="5" s="1"/>
  <c r="AL94" i="5"/>
  <c r="BC94" i="5" s="1"/>
  <c r="AL83" i="5"/>
  <c r="BC83" i="5" s="1"/>
  <c r="W83" i="5" s="1" a="1"/>
  <c r="W83" i="5" s="1"/>
  <c r="AL101" i="5"/>
  <c r="BC101" i="5" s="1"/>
  <c r="W101" i="5" s="1" a="1"/>
  <c r="W101" i="5" s="1"/>
  <c r="AL64" i="5"/>
  <c r="BC64" i="5" s="1"/>
  <c r="AL103" i="5"/>
  <c r="BC103" i="5" s="1"/>
  <c r="W103" i="5" s="1" a="1"/>
  <c r="W103" i="5" s="1"/>
  <c r="AL79" i="5"/>
  <c r="AL53" i="5"/>
  <c r="BC53" i="5" s="1"/>
  <c r="AL57" i="5"/>
  <c r="BC57" i="5" s="1"/>
  <c r="AL62" i="5"/>
  <c r="BC62" i="5" s="1"/>
  <c r="AL55" i="5"/>
  <c r="BC55" i="5" s="1"/>
  <c r="W55" i="5" s="1" a="1"/>
  <c r="W55" i="5" s="1"/>
  <c r="AL81" i="5"/>
  <c r="BC81" i="5" s="1"/>
  <c r="W81" i="5" s="1" a="1"/>
  <c r="W81" i="5" s="1"/>
  <c r="AL91" i="5"/>
  <c r="BC91" i="5" s="1"/>
  <c r="AL73" i="5"/>
  <c r="BC73" i="5" s="1"/>
  <c r="AL82" i="5"/>
  <c r="BC82" i="5" s="1"/>
  <c r="AL95" i="5"/>
  <c r="BC95" i="5" s="1"/>
  <c r="W95" i="5" s="1" a="1"/>
  <c r="W95" i="5" s="1"/>
  <c r="AL102" i="5"/>
  <c r="BC102" i="5" s="1"/>
  <c r="W102" i="5" s="1" a="1"/>
  <c r="W102" i="5" s="1"/>
  <c r="AL58" i="5"/>
  <c r="AL34" i="5"/>
  <c r="BC34" i="5" s="1"/>
  <c r="AL123" i="5"/>
  <c r="BC123" i="5" s="1"/>
  <c r="AL117" i="5"/>
  <c r="BC117" i="5" s="1"/>
  <c r="AL35" i="5"/>
  <c r="BC35" i="5" s="1"/>
  <c r="AL28" i="5"/>
  <c r="BC28" i="5" s="1"/>
  <c r="W28" i="5" s="1" a="1"/>
  <c r="W28" i="5" s="1"/>
  <c r="AL70" i="5"/>
  <c r="BC70" i="5" s="1"/>
  <c r="W70" i="5" s="1" a="1"/>
  <c r="W70" i="5" s="1"/>
  <c r="AL49" i="5"/>
  <c r="BC49" i="5" s="1"/>
  <c r="W49" i="5" s="1" a="1"/>
  <c r="W49" i="5" s="1"/>
  <c r="AL114" i="5"/>
  <c r="BC114" i="5" s="1"/>
  <c r="AL65" i="5"/>
  <c r="AL37" i="5"/>
  <c r="BC37" i="5" s="1"/>
  <c r="W37" i="5" s="1" a="1"/>
  <c r="W37" i="5" s="1"/>
  <c r="AL33" i="5"/>
  <c r="BC33" i="5" s="1"/>
  <c r="AL38" i="5"/>
  <c r="BC38" i="5" s="1"/>
  <c r="W38" i="5" s="1" a="1"/>
  <c r="W38" i="5" s="1"/>
  <c r="AL87" i="5"/>
  <c r="BC87" i="5" s="1"/>
  <c r="W87" i="5" s="1" a="1"/>
  <c r="W87" i="5" s="1"/>
  <c r="AL46" i="5"/>
  <c r="BC46" i="5" s="1"/>
  <c r="W46" i="5" s="1" a="1"/>
  <c r="W46" i="5" s="1"/>
  <c r="AL86" i="5"/>
  <c r="AL56" i="5"/>
  <c r="BC56" i="5" s="1"/>
  <c r="AL48" i="5"/>
  <c r="BC48" i="5" s="1"/>
  <c r="AL45" i="5"/>
  <c r="BC45" i="5" s="1"/>
  <c r="AL118" i="5"/>
  <c r="BC118" i="5" s="1"/>
  <c r="W118" i="5" s="1" a="1"/>
  <c r="W118" i="5" s="1"/>
  <c r="AL121" i="5"/>
  <c r="BC121" i="5" s="1"/>
  <c r="W121" i="5" s="1" a="1"/>
  <c r="W121" i="5" s="1"/>
  <c r="AL80" i="5"/>
  <c r="AL43" i="5"/>
  <c r="BC43" i="5" s="1"/>
  <c r="W43" i="5" s="1" a="1"/>
  <c r="W43" i="5" s="1"/>
  <c r="D86" i="5" l="1"/>
  <c r="BC86" i="5"/>
  <c r="BC105" i="5"/>
  <c r="D105" i="5"/>
  <c r="W98" i="5" a="1"/>
  <c r="W98" i="5" s="1"/>
  <c r="W75" i="5" a="1"/>
  <c r="W75" i="5" s="1"/>
  <c r="BC65" i="5"/>
  <c r="D65" i="5"/>
  <c r="W106" i="5" a="1"/>
  <c r="W106" i="5" s="1"/>
  <c r="W123" i="5" a="1"/>
  <c r="W123" i="5" s="1"/>
  <c r="W33" i="5" a="1"/>
  <c r="W33" i="5" s="1"/>
  <c r="W111" i="5" a="1"/>
  <c r="W111" i="5" s="1"/>
  <c r="W62" i="5" a="1"/>
  <c r="W62" i="5" s="1"/>
  <c r="D96" i="5"/>
  <c r="BC96" i="5"/>
  <c r="D58" i="5"/>
  <c r="BC58" i="5"/>
  <c r="W97" i="5" s="1" a="1"/>
  <c r="W97" i="5" s="1"/>
  <c r="BC80" i="5"/>
  <c r="D80" i="5"/>
  <c r="D79" i="5"/>
  <c r="BC79" i="5"/>
  <c r="W50" i="5" l="1" a="1"/>
  <c r="W50" i="5" s="1"/>
  <c r="W71" i="5" a="1"/>
  <c r="W71" i="5" s="1"/>
  <c r="W107" i="5" a="1"/>
  <c r="W107" i="5" s="1"/>
  <c r="W64" i="5" a="1"/>
  <c r="W64" i="5" s="1"/>
  <c r="W104" i="5" a="1"/>
  <c r="W104" i="5" s="1"/>
  <c r="W90" i="5" a="1"/>
  <c r="W90" i="5" s="1"/>
  <c r="W113" i="5" a="1"/>
  <c r="W113" i="5" s="1"/>
  <c r="W115" i="5" a="1"/>
  <c r="W115" i="5" s="1"/>
  <c r="W105" i="5" a="1"/>
  <c r="W105" i="5" s="1"/>
  <c r="W85" i="5" a="1"/>
  <c r="W85" i="5" s="1"/>
  <c r="W63" i="5" a="1"/>
  <c r="W63" i="5" s="1"/>
  <c r="W66" i="5" a="1"/>
  <c r="W66" i="5" s="1"/>
  <c r="W54" i="5" a="1"/>
  <c r="W54" i="5" s="1"/>
  <c r="W112" i="5" a="1"/>
  <c r="W112" i="5" s="1"/>
  <c r="W61" i="5" a="1"/>
  <c r="W61" i="5" s="1"/>
  <c r="W58" i="5" a="1"/>
  <c r="W58" i="5" s="1"/>
  <c r="W114" i="5" a="1"/>
  <c r="W114" i="5" s="1"/>
  <c r="W65" i="5" a="1"/>
  <c r="W65" i="5" s="1"/>
  <c r="W91" i="5" a="1"/>
  <c r="W91" i="5" s="1"/>
  <c r="W78" i="5" a="1"/>
  <c r="W78" i="5" s="1"/>
  <c r="W117" i="5" a="1"/>
  <c r="W117" i="5" s="1"/>
  <c r="W89" i="5" a="1"/>
  <c r="W89" i="5" s="1"/>
  <c r="W108" i="5" a="1"/>
  <c r="W108" i="5" s="1"/>
  <c r="W86" i="5" a="1"/>
  <c r="W86" i="5" s="1"/>
  <c r="W56" i="5" a="1"/>
  <c r="W56" i="5" s="1"/>
  <c r="W93" i="5" a="1"/>
  <c r="W93" i="5" s="1"/>
  <c r="W120" i="5" a="1"/>
  <c r="W120" i="5" s="1"/>
  <c r="W60" i="5" a="1"/>
  <c r="W60" i="5" s="1"/>
  <c r="W26" i="5" a="1"/>
  <c r="W26" i="5" s="1"/>
  <c r="W116" i="5" a="1"/>
  <c r="W116" i="5" s="1"/>
  <c r="W45" i="5" a="1"/>
  <c r="W45" i="5" s="1"/>
  <c r="W110" i="5" a="1"/>
  <c r="W110" i="5" s="1"/>
  <c r="W96" i="5" a="1"/>
  <c r="W96" i="5" s="1"/>
  <c r="W53" i="5" a="1"/>
  <c r="W53" i="5" s="1"/>
  <c r="W34" i="5" a="1"/>
  <c r="W34" i="5" s="1"/>
  <c r="W42" i="5" a="1"/>
  <c r="W42" i="5" s="1"/>
  <c r="W44" i="5" a="1"/>
  <c r="W44" i="5" s="1"/>
  <c r="W51" i="5" a="1"/>
  <c r="W51" i="5" s="1"/>
  <c r="W79" i="5" a="1"/>
  <c r="W79" i="5" s="1"/>
  <c r="W35" i="5" a="1"/>
  <c r="W35" i="5" s="1"/>
  <c r="W80" i="5" a="1"/>
  <c r="W80" i="5" s="1"/>
  <c r="W124" i="5" a="1"/>
  <c r="W124" i="5" s="1"/>
  <c r="W94" i="5" a="1"/>
  <c r="W94" i="5" s="1"/>
  <c r="W27" i="5" a="1"/>
  <c r="W27" i="5" s="1"/>
  <c r="W82" i="5" a="1"/>
  <c r="W82" i="5" s="1"/>
  <c r="W72" i="5" a="1"/>
  <c r="W72" i="5" s="1"/>
  <c r="W73" i="5" a="1"/>
  <c r="W73" i="5" s="1"/>
  <c r="W57" i="5" a="1"/>
  <c r="W57" i="5" s="1"/>
  <c r="W31" i="5" a="1"/>
  <c r="W31" i="5" s="1"/>
  <c r="W48" i="5" a="1"/>
  <c r="W48" i="5" s="1"/>
  <c r="W21" i="5" l="1"/>
  <c r="W22" i="5" l="1"/>
  <c r="W23" i="5"/>
  <c r="AM41" i="5" l="1"/>
  <c r="BD41" i="5" s="1"/>
  <c r="AM118" i="5"/>
  <c r="BD118" i="5" s="1"/>
  <c r="AM53" i="5"/>
  <c r="BD53" i="5" s="1"/>
  <c r="AM75" i="5"/>
  <c r="BD75" i="5" s="1"/>
  <c r="AM119" i="5"/>
  <c r="BD119" i="5" s="1"/>
  <c r="AM113" i="5"/>
  <c r="BD113" i="5" s="1"/>
  <c r="AM26" i="5"/>
  <c r="BD26" i="5" s="1"/>
  <c r="AM74" i="5"/>
  <c r="BD74" i="5" s="1"/>
  <c r="AM109" i="5"/>
  <c r="BD109" i="5" s="1"/>
  <c r="AM76" i="5"/>
  <c r="BD76" i="5" s="1"/>
  <c r="AM66" i="5"/>
  <c r="BD66" i="5" s="1"/>
  <c r="AM107" i="5"/>
  <c r="BD107" i="5" s="1"/>
  <c r="AM103" i="5"/>
  <c r="BD103" i="5" s="1"/>
  <c r="AM82" i="5"/>
  <c r="BD82" i="5" s="1"/>
  <c r="AM39" i="5"/>
  <c r="BD39" i="5" s="1"/>
  <c r="AM70" i="5"/>
  <c r="BD70" i="5" s="1"/>
  <c r="AM117" i="5"/>
  <c r="BD117" i="5" s="1"/>
  <c r="AM98" i="5"/>
  <c r="BD98" i="5" s="1"/>
  <c r="AM49" i="5"/>
  <c r="BD49" i="5" s="1"/>
  <c r="AM55" i="5"/>
  <c r="BD55" i="5" s="1"/>
  <c r="AM81" i="5"/>
  <c r="BD81" i="5" s="1"/>
  <c r="AM57" i="5"/>
  <c r="BD57" i="5" s="1"/>
  <c r="AM42" i="5"/>
  <c r="BD42" i="5" s="1"/>
  <c r="AM93" i="5"/>
  <c r="BD93" i="5" s="1"/>
  <c r="AM31" i="5"/>
  <c r="BD31" i="5" s="1"/>
  <c r="AM29" i="5"/>
  <c r="BD29" i="5" s="1"/>
  <c r="AM61" i="5"/>
  <c r="BD61" i="5" s="1"/>
  <c r="AM104" i="5"/>
  <c r="BD104" i="5" s="1"/>
  <c r="AM99" i="5"/>
  <c r="BD99" i="5" s="1"/>
  <c r="AM92" i="5"/>
  <c r="BD92" i="5" s="1"/>
  <c r="AM32" i="5"/>
  <c r="BD32" i="5" s="1"/>
  <c r="AM54" i="5"/>
  <c r="BD54" i="5" s="1"/>
  <c r="AM64" i="5"/>
  <c r="BD64" i="5" s="1"/>
  <c r="AM112" i="5"/>
  <c r="BD112" i="5" s="1"/>
  <c r="AM102" i="5"/>
  <c r="BD102" i="5" s="1"/>
  <c r="AM77" i="5"/>
  <c r="BD77" i="5" s="1"/>
  <c r="AM28" i="5"/>
  <c r="BD28" i="5" s="1"/>
  <c r="AM46" i="5"/>
  <c r="BD46" i="5" s="1"/>
  <c r="AM100" i="5"/>
  <c r="BD100" i="5" s="1"/>
  <c r="AM108" i="5"/>
  <c r="BD108" i="5" s="1"/>
  <c r="AM90" i="5"/>
  <c r="BD90" i="5" s="1"/>
  <c r="AM59" i="5"/>
  <c r="BD59" i="5" s="1"/>
  <c r="AM68" i="5"/>
  <c r="BD68" i="5" s="1"/>
  <c r="AM37" i="5"/>
  <c r="BD37" i="5" s="1"/>
  <c r="AM35" i="5"/>
  <c r="BD35" i="5" s="1"/>
  <c r="AM30" i="5"/>
  <c r="BD30" i="5" s="1"/>
  <c r="AM36" i="5"/>
  <c r="BD36" i="5" s="1"/>
  <c r="AM71" i="5"/>
  <c r="BD71" i="5" s="1"/>
  <c r="AM50" i="5"/>
  <c r="BD50" i="5" s="1"/>
  <c r="AM47" i="5"/>
  <c r="BD47" i="5" s="1"/>
  <c r="AM40" i="5"/>
  <c r="BD40" i="5" s="1"/>
  <c r="AM25" i="5"/>
  <c r="BD25" i="5" s="1"/>
  <c r="AM44" i="5"/>
  <c r="BD44" i="5" s="1"/>
  <c r="AM97" i="5"/>
  <c r="BD97" i="5" s="1"/>
  <c r="AM84" i="5"/>
  <c r="BD84" i="5" s="1"/>
  <c r="AM122" i="5"/>
  <c r="BD122" i="5" s="1"/>
  <c r="AM111" i="5"/>
  <c r="BD111" i="5" s="1"/>
  <c r="AM116" i="5"/>
  <c r="BD116" i="5" s="1"/>
  <c r="AM121" i="5"/>
  <c r="BD121" i="5" s="1"/>
  <c r="AM72" i="5"/>
  <c r="BD72" i="5" s="1"/>
  <c r="AM88" i="5"/>
  <c r="BD88" i="5" s="1"/>
  <c r="AM95" i="5"/>
  <c r="BD95" i="5" s="1"/>
  <c r="AM69" i="5"/>
  <c r="BD69" i="5" s="1"/>
  <c r="AM114" i="5"/>
  <c r="BD114" i="5" s="1"/>
  <c r="AM106" i="5"/>
  <c r="BD106" i="5" s="1"/>
  <c r="AM63" i="5"/>
  <c r="BD63" i="5" s="1"/>
  <c r="AM124" i="5"/>
  <c r="BD124" i="5" s="1"/>
  <c r="AM48" i="5"/>
  <c r="BD48" i="5" s="1"/>
  <c r="AM120" i="5"/>
  <c r="BD120" i="5" s="1"/>
  <c r="AM45" i="5"/>
  <c r="BD45" i="5" s="1"/>
  <c r="AM73" i="5"/>
  <c r="BD73" i="5" s="1"/>
  <c r="AM78" i="5"/>
  <c r="BD78" i="5" s="1"/>
  <c r="AM87" i="5"/>
  <c r="BD87" i="5" s="1"/>
  <c r="AM85" i="5"/>
  <c r="BD85" i="5" s="1"/>
  <c r="AM51" i="5"/>
  <c r="BD51" i="5" s="1"/>
  <c r="AM27" i="5"/>
  <c r="BD27" i="5" s="1"/>
  <c r="AM91" i="5"/>
  <c r="BD91" i="5" s="1"/>
  <c r="AM101" i="5"/>
  <c r="BD101" i="5" s="1"/>
  <c r="AM38" i="5"/>
  <c r="BD38" i="5" s="1"/>
  <c r="AM62" i="5"/>
  <c r="BD62" i="5" s="1"/>
  <c r="AM89" i="5"/>
  <c r="BD89" i="5" s="1"/>
  <c r="AM83" i="5"/>
  <c r="BD83" i="5" s="1"/>
  <c r="AM67" i="5"/>
  <c r="BD67" i="5" s="1"/>
  <c r="AM60" i="5"/>
  <c r="BD60" i="5" s="1"/>
  <c r="AM43" i="5"/>
  <c r="BD43" i="5" s="1"/>
  <c r="AM56" i="5"/>
  <c r="BD56" i="5" s="1"/>
  <c r="AM94" i="5"/>
  <c r="BD94" i="5" s="1"/>
  <c r="AM34" i="5"/>
  <c r="BD34" i="5" s="1"/>
  <c r="AM33" i="5"/>
  <c r="BD33" i="5" s="1"/>
  <c r="AM123" i="5"/>
  <c r="BD123" i="5" s="1"/>
  <c r="AM110" i="5"/>
  <c r="BD110" i="5" s="1"/>
  <c r="AM115" i="5"/>
  <c r="BD115" i="5" s="1"/>
  <c r="AM52" i="5"/>
  <c r="BD52" i="5" s="1"/>
  <c r="AM79" i="5"/>
  <c r="BD79" i="5" s="1"/>
  <c r="AM105" i="5"/>
  <c r="BD105" i="5" s="1"/>
  <c r="AM86" i="5"/>
  <c r="BD86" i="5" s="1"/>
  <c r="AM96" i="5"/>
  <c r="BD96" i="5" s="1"/>
  <c r="AM80" i="5"/>
  <c r="BD80" i="5" s="1"/>
  <c r="AM58" i="5"/>
  <c r="BD58" i="5" s="1"/>
  <c r="AM65" i="5"/>
  <c r="BD65" i="5" s="1"/>
  <c r="X86" i="5" l="1" a="1"/>
  <c r="X86" i="5" s="1"/>
  <c r="X39" i="5" a="1"/>
  <c r="X39" i="5" s="1"/>
  <c r="X52" i="5" a="1"/>
  <c r="X52" i="5" s="1"/>
  <c r="X91" i="5" a="1"/>
  <c r="X91" i="5" s="1"/>
  <c r="X88" i="5" a="1"/>
  <c r="X88" i="5" s="1"/>
  <c r="X35" i="5" a="1"/>
  <c r="X35" i="5" s="1"/>
  <c r="X99" i="5" a="1"/>
  <c r="X99" i="5" s="1"/>
  <c r="X103" i="5" a="1"/>
  <c r="X103" i="5" s="1"/>
  <c r="X115" i="5" a="1"/>
  <c r="X115" i="5" s="1"/>
  <c r="X27" i="5" a="1"/>
  <c r="X27" i="5" s="1"/>
  <c r="X72" i="5" a="1"/>
  <c r="X72" i="5" s="1"/>
  <c r="X37" i="5" a="1"/>
  <c r="X37" i="5" s="1"/>
  <c r="X104" i="5" a="1"/>
  <c r="X104" i="5" s="1"/>
  <c r="X107" i="5" a="1"/>
  <c r="X107" i="5" s="1"/>
  <c r="X62" i="5" a="1"/>
  <c r="X62" i="5" s="1"/>
  <c r="X68" i="5" a="1"/>
  <c r="X68" i="5" s="1"/>
  <c r="X61" i="5" a="1"/>
  <c r="X61" i="5" s="1"/>
  <c r="X66" i="5" a="1"/>
  <c r="X66" i="5" s="1"/>
  <c r="X116" i="5" a="1"/>
  <c r="X116" i="5" s="1"/>
  <c r="X76" i="5" a="1"/>
  <c r="X76" i="5" s="1"/>
  <c r="X114" i="5" a="1"/>
  <c r="X114" i="5" s="1"/>
  <c r="X31" i="5" a="1"/>
  <c r="X31" i="5" s="1"/>
  <c r="X109" i="5" a="1"/>
  <c r="X109" i="5" s="1"/>
  <c r="X69" i="5" a="1"/>
  <c r="X69" i="5" s="1"/>
  <c r="X78" i="5" a="1"/>
  <c r="X78" i="5" s="1"/>
  <c r="X74" i="5" a="1"/>
  <c r="X74" i="5" s="1"/>
  <c r="X26" i="5" a="1"/>
  <c r="X26" i="5" s="1"/>
  <c r="X79" i="5" a="1"/>
  <c r="X79" i="5" s="1"/>
  <c r="X82" i="5" a="1"/>
  <c r="X82" i="5" s="1"/>
  <c r="X119" i="5" a="1"/>
  <c r="X119" i="5" s="1"/>
  <c r="X70" i="5" a="1"/>
  <c r="X70" i="5" s="1"/>
  <c r="X36" i="5" a="1"/>
  <c r="X36" i="5" s="1"/>
  <c r="X95" i="5" a="1"/>
  <c r="X95" i="5" s="1"/>
  <c r="X51" i="5" a="1"/>
  <c r="X51" i="5" s="1"/>
  <c r="X59" i="5" a="1"/>
  <c r="X59" i="5" s="1"/>
  <c r="X111" i="5" a="1"/>
  <c r="X111" i="5" s="1"/>
  <c r="X122" i="5" a="1"/>
  <c r="X122" i="5" s="1"/>
  <c r="X73" i="5" a="1"/>
  <c r="X73" i="5" s="1"/>
  <c r="X84" i="5" a="1"/>
  <c r="X84" i="5" s="1"/>
  <c r="X97" i="5" a="1"/>
  <c r="X97" i="5" s="1"/>
  <c r="X57" i="5" a="1"/>
  <c r="X57" i="5" s="1"/>
  <c r="X120" i="5" a="1"/>
  <c r="X120" i="5" s="1"/>
  <c r="X28" i="5" a="1"/>
  <c r="X28" i="5" s="1"/>
  <c r="X65" i="5" a="1"/>
  <c r="X65" i="5" s="1"/>
  <c r="X60" i="5" a="1"/>
  <c r="X60" i="5" s="1"/>
  <c r="X48" i="5" a="1"/>
  <c r="X48" i="5" s="1"/>
  <c r="X25" i="5" a="1"/>
  <c r="X25" i="5" s="1"/>
  <c r="X77" i="5" a="1"/>
  <c r="X77" i="5" s="1"/>
  <c r="X55" i="5" a="1"/>
  <c r="X55" i="5" s="1"/>
  <c r="X75" i="5" a="1"/>
  <c r="X75" i="5" s="1"/>
  <c r="X105" i="5" a="1"/>
  <c r="X105" i="5" s="1"/>
  <c r="X30" i="5" a="1"/>
  <c r="X30" i="5" s="1"/>
  <c r="X85" i="5" a="1"/>
  <c r="X85" i="5" s="1"/>
  <c r="X87" i="5" a="1"/>
  <c r="X87" i="5" s="1"/>
  <c r="X34" i="5" a="1"/>
  <c r="X34" i="5" s="1"/>
  <c r="X100" i="5" a="1"/>
  <c r="X100" i="5" s="1"/>
  <c r="X56" i="5" a="1"/>
  <c r="X56" i="5" s="1"/>
  <c r="X46" i="5" a="1"/>
  <c r="X46" i="5" s="1"/>
  <c r="X44" i="5" a="1"/>
  <c r="X44" i="5" s="1"/>
  <c r="X58" i="5" a="1"/>
  <c r="X58" i="5" s="1"/>
  <c r="X67" i="5" a="1"/>
  <c r="X67" i="5" s="1"/>
  <c r="X124" i="5" a="1"/>
  <c r="X124" i="5" s="1"/>
  <c r="X40" i="5" a="1"/>
  <c r="X40" i="5" s="1"/>
  <c r="X102" i="5" a="1"/>
  <c r="X102" i="5" s="1"/>
  <c r="X49" i="5" a="1"/>
  <c r="X49" i="5" s="1"/>
  <c r="X53" i="5" a="1"/>
  <c r="X53" i="5" s="1"/>
  <c r="X71" i="5" a="1"/>
  <c r="X71" i="5" s="1"/>
  <c r="X32" i="5" a="1"/>
  <c r="X32" i="5" s="1"/>
  <c r="X101" i="5" a="1"/>
  <c r="X101" i="5" s="1"/>
  <c r="X121" i="5" a="1"/>
  <c r="X121" i="5" s="1"/>
  <c r="X123" i="5" a="1"/>
  <c r="X123" i="5" s="1"/>
  <c r="X90" i="5" a="1"/>
  <c r="X90" i="5" s="1"/>
  <c r="X108" i="5" a="1"/>
  <c r="X108" i="5" s="1"/>
  <c r="X94" i="5" a="1"/>
  <c r="X94" i="5" s="1"/>
  <c r="X42" i="5" a="1"/>
  <c r="X42" i="5" s="1"/>
  <c r="X45" i="5" a="1"/>
  <c r="X45" i="5" s="1"/>
  <c r="X113" i="5" a="1"/>
  <c r="X113" i="5" s="1"/>
  <c r="X43" i="5" a="1"/>
  <c r="X43" i="5" s="1"/>
  <c r="X81" i="5" a="1"/>
  <c r="X81" i="5" s="1"/>
  <c r="X80" i="5" a="1"/>
  <c r="X80" i="5" s="1"/>
  <c r="X83" i="5" a="1"/>
  <c r="X83" i="5" s="1"/>
  <c r="X63" i="5" a="1"/>
  <c r="X63" i="5" s="1"/>
  <c r="X47" i="5" a="1"/>
  <c r="X47" i="5" s="1"/>
  <c r="X112" i="5" a="1"/>
  <c r="X112" i="5" s="1"/>
  <c r="X98" i="5" a="1"/>
  <c r="X98" i="5" s="1"/>
  <c r="X118" i="5" a="1"/>
  <c r="X118" i="5" s="1"/>
  <c r="X54" i="5" a="1"/>
  <c r="X54" i="5" s="1"/>
  <c r="X38" i="5" a="1"/>
  <c r="X38" i="5" s="1"/>
  <c r="X92" i="5" a="1"/>
  <c r="X92" i="5" s="1"/>
  <c r="X110" i="5" a="1"/>
  <c r="X110" i="5" s="1"/>
  <c r="X29" i="5" a="1"/>
  <c r="X29" i="5" s="1"/>
  <c r="X33" i="5" a="1"/>
  <c r="X33" i="5" s="1"/>
  <c r="X93" i="5" a="1"/>
  <c r="X93" i="5" s="1"/>
  <c r="X96" i="5" a="1"/>
  <c r="X96" i="5" s="1"/>
  <c r="X89" i="5" a="1"/>
  <c r="X89" i="5" s="1"/>
  <c r="X106" i="5" a="1"/>
  <c r="X106" i="5" s="1"/>
  <c r="X50" i="5" a="1"/>
  <c r="X50" i="5" s="1"/>
  <c r="X64" i="5" a="1"/>
  <c r="X64" i="5" s="1"/>
  <c r="X117" i="5" a="1"/>
  <c r="X117" i="5" s="1"/>
  <c r="X41" i="5" a="1"/>
  <c r="X41" i="5" s="1"/>
  <c r="X21" i="5" l="1"/>
  <c r="X22" i="5" l="1"/>
  <c r="X23" i="5"/>
  <c r="AN86" i="5" l="1"/>
  <c r="BE86" i="5" s="1"/>
  <c r="AN115" i="5"/>
  <c r="BE115" i="5" s="1"/>
  <c r="AN61" i="5"/>
  <c r="BE61" i="5" s="1"/>
  <c r="AN78" i="5"/>
  <c r="BE78" i="5" s="1"/>
  <c r="AN95" i="5"/>
  <c r="BE95" i="5" s="1"/>
  <c r="AN57" i="5"/>
  <c r="BE57" i="5" s="1"/>
  <c r="AN55" i="5"/>
  <c r="BE55" i="5" s="1"/>
  <c r="AN56" i="5"/>
  <c r="BE56" i="5" s="1"/>
  <c r="AN49" i="5"/>
  <c r="BE49" i="5" s="1"/>
  <c r="AN108" i="5"/>
  <c r="BE108" i="5" s="1"/>
  <c r="AN83" i="5"/>
  <c r="BE83" i="5" s="1"/>
  <c r="AN92" i="5"/>
  <c r="BE92" i="5" s="1"/>
  <c r="AN50" i="5"/>
  <c r="BE50" i="5" s="1"/>
  <c r="AN39" i="5"/>
  <c r="BE39" i="5" s="1"/>
  <c r="AN27" i="5"/>
  <c r="BE27" i="5" s="1"/>
  <c r="AN66" i="5"/>
  <c r="BE66" i="5" s="1"/>
  <c r="AN74" i="5"/>
  <c r="BE74" i="5" s="1"/>
  <c r="AN51" i="5"/>
  <c r="BE51" i="5" s="1"/>
  <c r="AN120" i="5"/>
  <c r="BE120" i="5" s="1"/>
  <c r="AN75" i="5"/>
  <c r="BE75" i="5" s="1"/>
  <c r="AN46" i="5"/>
  <c r="BE46" i="5" s="1"/>
  <c r="AN53" i="5"/>
  <c r="BE53" i="5" s="1"/>
  <c r="AN94" i="5"/>
  <c r="BE94" i="5" s="1"/>
  <c r="AN63" i="5"/>
  <c r="BE63" i="5" s="1"/>
  <c r="AN110" i="5"/>
  <c r="BE110" i="5" s="1"/>
  <c r="AN64" i="5"/>
  <c r="BE64" i="5" s="1"/>
  <c r="AN52" i="5"/>
  <c r="BE52" i="5" s="1"/>
  <c r="AN72" i="5"/>
  <c r="BE72" i="5" s="1"/>
  <c r="AN116" i="5"/>
  <c r="BE116" i="5" s="1"/>
  <c r="AN26" i="5"/>
  <c r="BE26" i="5" s="1"/>
  <c r="AN59" i="5"/>
  <c r="BE59" i="5" s="1"/>
  <c r="AN28" i="5"/>
  <c r="BE28" i="5" s="1"/>
  <c r="AN105" i="5"/>
  <c r="BE105" i="5" s="1"/>
  <c r="AN44" i="5"/>
  <c r="BE44" i="5" s="1"/>
  <c r="AN71" i="5"/>
  <c r="BE71" i="5" s="1"/>
  <c r="AN42" i="5"/>
  <c r="BE42" i="5" s="1"/>
  <c r="AN47" i="5"/>
  <c r="BE47" i="5" s="1"/>
  <c r="AN29" i="5"/>
  <c r="BE29" i="5" s="1"/>
  <c r="AN117" i="5"/>
  <c r="BE117" i="5" s="1"/>
  <c r="AN91" i="5"/>
  <c r="BE91" i="5" s="1"/>
  <c r="AN37" i="5"/>
  <c r="BE37" i="5" s="1"/>
  <c r="AN76" i="5"/>
  <c r="BE76" i="5" s="1"/>
  <c r="AN79" i="5"/>
  <c r="BE79" i="5" s="1"/>
  <c r="AN111" i="5"/>
  <c r="BE111" i="5" s="1"/>
  <c r="AN65" i="5"/>
  <c r="BE65" i="5" s="1"/>
  <c r="AN30" i="5"/>
  <c r="BE30" i="5" s="1"/>
  <c r="AN58" i="5"/>
  <c r="BE58" i="5" s="1"/>
  <c r="AN32" i="5"/>
  <c r="BE32" i="5" s="1"/>
  <c r="AN45" i="5"/>
  <c r="BE45" i="5" s="1"/>
  <c r="AN112" i="5"/>
  <c r="BE112" i="5" s="1"/>
  <c r="AN33" i="5"/>
  <c r="BE33" i="5" s="1"/>
  <c r="AN41" i="5"/>
  <c r="BE41" i="5" s="1"/>
  <c r="AN88" i="5"/>
  <c r="BE88" i="5" s="1"/>
  <c r="AN104" i="5"/>
  <c r="BE104" i="5" s="1"/>
  <c r="AN114" i="5"/>
  <c r="BE114" i="5" s="1"/>
  <c r="AN82" i="5"/>
  <c r="BE82" i="5" s="1"/>
  <c r="AN122" i="5"/>
  <c r="BE122" i="5" s="1"/>
  <c r="AN60" i="5"/>
  <c r="BE60" i="5" s="1"/>
  <c r="AN85" i="5"/>
  <c r="BE85" i="5" s="1"/>
  <c r="AN67" i="5"/>
  <c r="BE67" i="5" s="1"/>
  <c r="AN101" i="5"/>
  <c r="BE101" i="5" s="1"/>
  <c r="AN113" i="5"/>
  <c r="BE113" i="5" s="1"/>
  <c r="AN98" i="5"/>
  <c r="BE98" i="5" s="1"/>
  <c r="AN93" i="5"/>
  <c r="BE93" i="5" s="1"/>
  <c r="AN35" i="5"/>
  <c r="BE35" i="5" s="1"/>
  <c r="AN107" i="5"/>
  <c r="BE107" i="5" s="1"/>
  <c r="AN31" i="5"/>
  <c r="BE31" i="5" s="1"/>
  <c r="AN119" i="5"/>
  <c r="BE119" i="5" s="1"/>
  <c r="AN73" i="5"/>
  <c r="BE73" i="5" s="1"/>
  <c r="AN48" i="5"/>
  <c r="BE48" i="5" s="1"/>
  <c r="AN87" i="5"/>
  <c r="BE87" i="5" s="1"/>
  <c r="AN124" i="5"/>
  <c r="BE124" i="5" s="1"/>
  <c r="AN121" i="5"/>
  <c r="BE121" i="5" s="1"/>
  <c r="AN43" i="5"/>
  <c r="BE43" i="5" s="1"/>
  <c r="AN118" i="5"/>
  <c r="BE118" i="5" s="1"/>
  <c r="AN96" i="5"/>
  <c r="BE96" i="5" s="1"/>
  <c r="AN103" i="5"/>
  <c r="BE103" i="5" s="1"/>
  <c r="AN68" i="5"/>
  <c r="BE68" i="5" s="1"/>
  <c r="AN69" i="5"/>
  <c r="BE69" i="5" s="1"/>
  <c r="AN36" i="5"/>
  <c r="BE36" i="5" s="1"/>
  <c r="AN97" i="5"/>
  <c r="BE97" i="5" s="1"/>
  <c r="AN77" i="5"/>
  <c r="BE77" i="5" s="1"/>
  <c r="AN100" i="5"/>
  <c r="BE100" i="5" s="1"/>
  <c r="AN102" i="5"/>
  <c r="BE102" i="5" s="1"/>
  <c r="AN90" i="5"/>
  <c r="BE90" i="5" s="1"/>
  <c r="AN80" i="5"/>
  <c r="BE80" i="5" s="1"/>
  <c r="AN38" i="5"/>
  <c r="BE38" i="5" s="1"/>
  <c r="AN106" i="5"/>
  <c r="BE106" i="5" s="1"/>
  <c r="AN99" i="5"/>
  <c r="BE99" i="5" s="1"/>
  <c r="AN62" i="5"/>
  <c r="BE62" i="5" s="1"/>
  <c r="AN109" i="5"/>
  <c r="BE109" i="5" s="1"/>
  <c r="AN70" i="5"/>
  <c r="BE70" i="5" s="1"/>
  <c r="AN84" i="5"/>
  <c r="BE84" i="5" s="1"/>
  <c r="AN25" i="5"/>
  <c r="BE25" i="5" s="1"/>
  <c r="AN34" i="5"/>
  <c r="BE34" i="5" s="1"/>
  <c r="AN40" i="5"/>
  <c r="BE40" i="5" s="1"/>
  <c r="AN123" i="5"/>
  <c r="BE123" i="5" s="1"/>
  <c r="AN81" i="5"/>
  <c r="BE81" i="5" s="1"/>
  <c r="AN54" i="5"/>
  <c r="BE54" i="5" s="1"/>
  <c r="AN89" i="5"/>
  <c r="BE89" i="5" s="1"/>
  <c r="Y93" i="5" l="1" a="1"/>
  <c r="Y93" i="5" s="1"/>
  <c r="Y98" i="5" a="1"/>
  <c r="Y98" i="5" s="1"/>
  <c r="Y26" i="5" a="1"/>
  <c r="Y26" i="5" s="1"/>
  <c r="Y103" i="5" a="1"/>
  <c r="Y103" i="5" s="1"/>
  <c r="Y67" i="5" a="1"/>
  <c r="Y67" i="5" s="1"/>
  <c r="Y111" i="5" a="1"/>
  <c r="Y111" i="5" s="1"/>
  <c r="Y72" i="5" a="1"/>
  <c r="Y72" i="5" s="1"/>
  <c r="Y109" i="5" a="1"/>
  <c r="Y109" i="5" s="1"/>
  <c r="Y118" i="5" a="1"/>
  <c r="Y118" i="5" s="1"/>
  <c r="Y85" i="5" a="1"/>
  <c r="Y85" i="5" s="1"/>
  <c r="Y79" i="5" a="1"/>
  <c r="Y79" i="5" s="1"/>
  <c r="Y52" i="5" a="1"/>
  <c r="Y52" i="5" s="1"/>
  <c r="Y83" i="5" a="1"/>
  <c r="Y83" i="5" s="1"/>
  <c r="Y34" i="5" a="1"/>
  <c r="Y34" i="5" s="1"/>
  <c r="Y68" i="5" a="1"/>
  <c r="Y68" i="5" s="1"/>
  <c r="Y96" i="5" a="1"/>
  <c r="Y96" i="5" s="1"/>
  <c r="Y92" i="5" a="1"/>
  <c r="Y92" i="5" s="1"/>
  <c r="Y62" i="5" a="1"/>
  <c r="Y62" i="5" s="1"/>
  <c r="Y43" i="5" a="1"/>
  <c r="Y43" i="5" s="1"/>
  <c r="Y60" i="5" a="1"/>
  <c r="Y60" i="5" s="1"/>
  <c r="Y76" i="5" a="1"/>
  <c r="Y76" i="5" s="1"/>
  <c r="Y64" i="5" a="1"/>
  <c r="Y64" i="5" s="1"/>
  <c r="Y108" i="5" a="1"/>
  <c r="Y108" i="5" s="1"/>
  <c r="Y66" i="5" a="1"/>
  <c r="Y66" i="5" s="1"/>
  <c r="Y39" i="5" a="1"/>
  <c r="Y39" i="5" s="1"/>
  <c r="Y70" i="5" a="1"/>
  <c r="Y70" i="5" s="1"/>
  <c r="Y124" i="5" a="1"/>
  <c r="Y124" i="5" s="1"/>
  <c r="Y82" i="5" a="1"/>
  <c r="Y82" i="5" s="1"/>
  <c r="Y91" i="5" a="1"/>
  <c r="Y91" i="5" s="1"/>
  <c r="Y63" i="5" a="1"/>
  <c r="Y63" i="5" s="1"/>
  <c r="Y56" i="5" a="1"/>
  <c r="Y56" i="5" s="1"/>
  <c r="Y28" i="5" a="1"/>
  <c r="Y28" i="5" s="1"/>
  <c r="Y30" i="5" a="1"/>
  <c r="Y30" i="5" s="1"/>
  <c r="Y84" i="5" a="1"/>
  <c r="Y84" i="5" s="1"/>
  <c r="Y121" i="5" a="1"/>
  <c r="Y121" i="5" s="1"/>
  <c r="Y114" i="5" a="1"/>
  <c r="Y114" i="5" s="1"/>
  <c r="Y117" i="5" a="1"/>
  <c r="Y117" i="5" s="1"/>
  <c r="Y94" i="5" a="1"/>
  <c r="Y94" i="5" s="1"/>
  <c r="Y55" i="5" a="1"/>
  <c r="Y55" i="5" s="1"/>
  <c r="Y69" i="5" a="1"/>
  <c r="Y69" i="5" s="1"/>
  <c r="Y104" i="5" a="1"/>
  <c r="Y104" i="5" s="1"/>
  <c r="Y29" i="5" a="1"/>
  <c r="Y29" i="5" s="1"/>
  <c r="Y53" i="5" a="1"/>
  <c r="Y53" i="5" s="1"/>
  <c r="Y57" i="5" a="1"/>
  <c r="Y57" i="5" s="1"/>
  <c r="Y47" i="5" a="1"/>
  <c r="Y47" i="5" s="1"/>
  <c r="Y46" i="5" a="1"/>
  <c r="Y46" i="5" s="1"/>
  <c r="Y95" i="5" a="1"/>
  <c r="Y95" i="5" s="1"/>
  <c r="Y40" i="5" a="1"/>
  <c r="Y40" i="5" s="1"/>
  <c r="Y58" i="5" a="1"/>
  <c r="Y58" i="5" s="1"/>
  <c r="Y50" i="5" a="1"/>
  <c r="Y50" i="5" s="1"/>
  <c r="Y49" i="5" a="1"/>
  <c r="Y49" i="5" s="1"/>
  <c r="Y32" i="5" a="1"/>
  <c r="Y32" i="5" s="1"/>
  <c r="Y113" i="5" a="1"/>
  <c r="Y113" i="5" s="1"/>
  <c r="Y65" i="5" a="1"/>
  <c r="Y65" i="5" s="1"/>
  <c r="Y110" i="5" a="1"/>
  <c r="Y110" i="5" s="1"/>
  <c r="Y106" i="5" a="1"/>
  <c r="Y106" i="5" s="1"/>
  <c r="Y38" i="5" a="1"/>
  <c r="Y38" i="5" s="1"/>
  <c r="Y80" i="5" a="1"/>
  <c r="Y80" i="5" s="1"/>
  <c r="Y88" i="5" a="1"/>
  <c r="Y88" i="5" s="1"/>
  <c r="Y89" i="5" a="1"/>
  <c r="Y89" i="5" s="1"/>
  <c r="Y102" i="5" a="1"/>
  <c r="Y102" i="5" s="1"/>
  <c r="Y119" i="5" a="1"/>
  <c r="Y119" i="5" s="1"/>
  <c r="Y41" i="5" a="1"/>
  <c r="Y41" i="5" s="1"/>
  <c r="Y42" i="5" a="1"/>
  <c r="Y42" i="5" s="1"/>
  <c r="Y75" i="5" a="1"/>
  <c r="Y75" i="5" s="1"/>
  <c r="Y78" i="5" a="1"/>
  <c r="Y78" i="5" s="1"/>
  <c r="Y54" i="5" a="1"/>
  <c r="Y54" i="5" s="1"/>
  <c r="Y100" i="5" a="1"/>
  <c r="Y100" i="5" s="1"/>
  <c r="Y31" i="5" a="1"/>
  <c r="Y31" i="5" s="1"/>
  <c r="Y33" i="5" a="1"/>
  <c r="Y33" i="5" s="1"/>
  <c r="Y71" i="5" a="1"/>
  <c r="Y71" i="5" s="1"/>
  <c r="Y120" i="5" a="1"/>
  <c r="Y120" i="5" s="1"/>
  <c r="Y61" i="5" a="1"/>
  <c r="Y61" i="5" s="1"/>
  <c r="Y36" i="5" a="1"/>
  <c r="Y36" i="5" s="1"/>
  <c r="Y59" i="5" a="1"/>
  <c r="Y59" i="5" s="1"/>
  <c r="Y25" i="5" a="1"/>
  <c r="Y25" i="5" s="1"/>
  <c r="Y101" i="5" a="1"/>
  <c r="Y101" i="5" s="1"/>
  <c r="Y99" i="5" a="1"/>
  <c r="Y99" i="5" s="1"/>
  <c r="Y37" i="5" a="1"/>
  <c r="Y37" i="5" s="1"/>
  <c r="Y87" i="5" a="1"/>
  <c r="Y87" i="5" s="1"/>
  <c r="Y90" i="5" a="1"/>
  <c r="Y90" i="5" s="1"/>
  <c r="Y112" i="5" a="1"/>
  <c r="Y112" i="5" s="1"/>
  <c r="Y27" i="5" a="1"/>
  <c r="Y27" i="5" s="1"/>
  <c r="Y116" i="5" a="1"/>
  <c r="Y116" i="5" s="1"/>
  <c r="Y122" i="5" a="1"/>
  <c r="Y122" i="5" s="1"/>
  <c r="Y48" i="5" a="1"/>
  <c r="Y48" i="5" s="1"/>
  <c r="Y73" i="5" a="1"/>
  <c r="Y73" i="5" s="1"/>
  <c r="Y81" i="5" a="1"/>
  <c r="Y81" i="5" s="1"/>
  <c r="Y77" i="5" a="1"/>
  <c r="Y77" i="5" s="1"/>
  <c r="Y107" i="5" a="1"/>
  <c r="Y107" i="5" s="1"/>
  <c r="Y44" i="5" a="1"/>
  <c r="Y44" i="5" s="1"/>
  <c r="Y51" i="5" a="1"/>
  <c r="Y51" i="5" s="1"/>
  <c r="Y115" i="5" a="1"/>
  <c r="Y115" i="5" s="1"/>
  <c r="Y123" i="5" a="1"/>
  <c r="Y123" i="5" s="1"/>
  <c r="Y97" i="5" a="1"/>
  <c r="Y97" i="5" s="1"/>
  <c r="Y35" i="5" a="1"/>
  <c r="Y35" i="5" s="1"/>
  <c r="Y45" i="5" a="1"/>
  <c r="Y45" i="5" s="1"/>
  <c r="Y105" i="5" a="1"/>
  <c r="Y105" i="5" s="1"/>
  <c r="Y74" i="5" a="1"/>
  <c r="Y74" i="5" s="1"/>
  <c r="Y86" i="5" a="1"/>
  <c r="Y86" i="5" s="1"/>
  <c r="Y21" i="5" l="1"/>
  <c r="Y23" i="5" l="1"/>
  <c r="Y22" i="5"/>
  <c r="AO72" i="5" l="1"/>
  <c r="BF72" i="5" s="1"/>
  <c r="AO95" i="5"/>
  <c r="BF95" i="5" s="1"/>
  <c r="AO71" i="5"/>
  <c r="BF71" i="5" s="1"/>
  <c r="AO73" i="5"/>
  <c r="BF73" i="5" s="1"/>
  <c r="AO93" i="5"/>
  <c r="BF93" i="5" s="1"/>
  <c r="AO118" i="5"/>
  <c r="BF118" i="5" s="1"/>
  <c r="AO92" i="5"/>
  <c r="BF92" i="5" s="1"/>
  <c r="AO39" i="5"/>
  <c r="BF39" i="5" s="1"/>
  <c r="AO30" i="5"/>
  <c r="BF30" i="5" s="1"/>
  <c r="AO104" i="5"/>
  <c r="BF104" i="5" s="1"/>
  <c r="AO58" i="5"/>
  <c r="BF58" i="5" s="1"/>
  <c r="AO38" i="5"/>
  <c r="BF38" i="5" s="1"/>
  <c r="AO75" i="5"/>
  <c r="BF75" i="5" s="1"/>
  <c r="AO61" i="5"/>
  <c r="BF61" i="5" s="1"/>
  <c r="AO90" i="5"/>
  <c r="BF90" i="5" s="1"/>
  <c r="AO77" i="5"/>
  <c r="BF77" i="5" s="1"/>
  <c r="AO45" i="5"/>
  <c r="BF45" i="5" s="1"/>
  <c r="AO68" i="5"/>
  <c r="BF68" i="5" s="1"/>
  <c r="AO108" i="5"/>
  <c r="BF108" i="5" s="1"/>
  <c r="AO56" i="5"/>
  <c r="BF56" i="5" s="1"/>
  <c r="AO55" i="5"/>
  <c r="BF55" i="5" s="1"/>
  <c r="AO110" i="5"/>
  <c r="BF110" i="5" s="1"/>
  <c r="AO41" i="5"/>
  <c r="BF41" i="5" s="1"/>
  <c r="AO37" i="5"/>
  <c r="BF37" i="5" s="1"/>
  <c r="AO97" i="5"/>
  <c r="BF97" i="5" s="1"/>
  <c r="AO98" i="5"/>
  <c r="BF98" i="5" s="1"/>
  <c r="AO85" i="5"/>
  <c r="BF85" i="5" s="1"/>
  <c r="AO62" i="5"/>
  <c r="BF62" i="5" s="1"/>
  <c r="AO70" i="5"/>
  <c r="BF70" i="5" s="1"/>
  <c r="AO84" i="5"/>
  <c r="BF84" i="5" s="1"/>
  <c r="AO29" i="5"/>
  <c r="BF29" i="5" s="1"/>
  <c r="AO50" i="5"/>
  <c r="BF50" i="5" s="1"/>
  <c r="AO80" i="5"/>
  <c r="BF80" i="5" s="1"/>
  <c r="AO78" i="5"/>
  <c r="BF78" i="5" s="1"/>
  <c r="AO36" i="5"/>
  <c r="BF36" i="5" s="1"/>
  <c r="AO112" i="5"/>
  <c r="BF112" i="5" s="1"/>
  <c r="AO107" i="5"/>
  <c r="BF107" i="5" s="1"/>
  <c r="AO105" i="5"/>
  <c r="BF105" i="5" s="1"/>
  <c r="AO26" i="5"/>
  <c r="BF26" i="5" s="1"/>
  <c r="AO79" i="5"/>
  <c r="BF79" i="5" s="1"/>
  <c r="AO43" i="5"/>
  <c r="BF43" i="5" s="1"/>
  <c r="AO124" i="5"/>
  <c r="BF124" i="5" s="1"/>
  <c r="AO121" i="5"/>
  <c r="BF121" i="5" s="1"/>
  <c r="AO53" i="5"/>
  <c r="BF53" i="5" s="1"/>
  <c r="AO49" i="5"/>
  <c r="BF49" i="5" s="1"/>
  <c r="AO88" i="5"/>
  <c r="BF88" i="5" s="1"/>
  <c r="AO54" i="5"/>
  <c r="BF54" i="5" s="1"/>
  <c r="AO59" i="5"/>
  <c r="BF59" i="5" s="1"/>
  <c r="AO27" i="5"/>
  <c r="BF27" i="5" s="1"/>
  <c r="AO44" i="5"/>
  <c r="BF44" i="5" s="1"/>
  <c r="AO74" i="5"/>
  <c r="BF74" i="5" s="1"/>
  <c r="AO96" i="5"/>
  <c r="BF96" i="5" s="1"/>
  <c r="AO103" i="5"/>
  <c r="BF103" i="5" s="1"/>
  <c r="AO52" i="5"/>
  <c r="BF52" i="5" s="1"/>
  <c r="AO60" i="5"/>
  <c r="BF60" i="5" s="1"/>
  <c r="AO82" i="5"/>
  <c r="BF82" i="5" s="1"/>
  <c r="AO114" i="5"/>
  <c r="BF114" i="5" s="1"/>
  <c r="AO57" i="5"/>
  <c r="BF57" i="5" s="1"/>
  <c r="AO32" i="5"/>
  <c r="BF32" i="5" s="1"/>
  <c r="AO89" i="5"/>
  <c r="BF89" i="5" s="1"/>
  <c r="AO100" i="5"/>
  <c r="BF100" i="5" s="1"/>
  <c r="AO25" i="5"/>
  <c r="BF25" i="5" s="1"/>
  <c r="AO116" i="5"/>
  <c r="BF116" i="5" s="1"/>
  <c r="AO51" i="5"/>
  <c r="BF51" i="5" s="1"/>
  <c r="AO86" i="5"/>
  <c r="BF86" i="5" s="1"/>
  <c r="AO109" i="5"/>
  <c r="BF109" i="5" s="1"/>
  <c r="AO66" i="5"/>
  <c r="BF66" i="5" s="1"/>
  <c r="AO28" i="5"/>
  <c r="BF28" i="5" s="1"/>
  <c r="AO69" i="5"/>
  <c r="BF69" i="5" s="1"/>
  <c r="AO40" i="5"/>
  <c r="BF40" i="5" s="1"/>
  <c r="AO106" i="5"/>
  <c r="BF106" i="5" s="1"/>
  <c r="AO42" i="5"/>
  <c r="BF42" i="5" s="1"/>
  <c r="AO120" i="5"/>
  <c r="BF120" i="5" s="1"/>
  <c r="AO87" i="5"/>
  <c r="BF87" i="5" s="1"/>
  <c r="AO35" i="5"/>
  <c r="BF35" i="5" s="1"/>
  <c r="AO67" i="5"/>
  <c r="BF67" i="5" s="1"/>
  <c r="AO83" i="5"/>
  <c r="BF83" i="5" s="1"/>
  <c r="AO76" i="5"/>
  <c r="BF76" i="5" s="1"/>
  <c r="AO91" i="5"/>
  <c r="BF91" i="5" s="1"/>
  <c r="AO117" i="5"/>
  <c r="BF117" i="5" s="1"/>
  <c r="AO47" i="5"/>
  <c r="BF47" i="5" s="1"/>
  <c r="AO113" i="5"/>
  <c r="BF113" i="5" s="1"/>
  <c r="AO102" i="5"/>
  <c r="BF102" i="5" s="1"/>
  <c r="AO31" i="5"/>
  <c r="BF31" i="5" s="1"/>
  <c r="AO101" i="5"/>
  <c r="BF101" i="5" s="1"/>
  <c r="AO122" i="5"/>
  <c r="BF122" i="5" s="1"/>
  <c r="AO115" i="5"/>
  <c r="BF115" i="5" s="1"/>
  <c r="AO81" i="5"/>
  <c r="BF81" i="5" s="1"/>
  <c r="AO111" i="5"/>
  <c r="BF111" i="5" s="1"/>
  <c r="AO34" i="5"/>
  <c r="BF34" i="5" s="1"/>
  <c r="AO64" i="5"/>
  <c r="BF64" i="5" s="1"/>
  <c r="AO63" i="5"/>
  <c r="BF63" i="5" s="1"/>
  <c r="AO94" i="5"/>
  <c r="BF94" i="5" s="1"/>
  <c r="AO46" i="5"/>
  <c r="BF46" i="5" s="1"/>
  <c r="AO65" i="5"/>
  <c r="BF65" i="5" s="1"/>
  <c r="AO119" i="5"/>
  <c r="BF119" i="5" s="1"/>
  <c r="AO33" i="5"/>
  <c r="BF33" i="5" s="1"/>
  <c r="AO99" i="5"/>
  <c r="BF99" i="5" s="1"/>
  <c r="AO48" i="5"/>
  <c r="BF48" i="5" s="1"/>
  <c r="AO123" i="5"/>
  <c r="BF123" i="5" s="1"/>
  <c r="Z77" i="5" l="1" a="1"/>
  <c r="Z77" i="5" s="1"/>
  <c r="Z76" i="5" a="1"/>
  <c r="Z76" i="5" s="1"/>
  <c r="Z57" i="5" a="1"/>
  <c r="Z57" i="5" s="1"/>
  <c r="Z124" i="5" a="1"/>
  <c r="Z124" i="5" s="1"/>
  <c r="Z98" i="5" a="1"/>
  <c r="Z98" i="5" s="1"/>
  <c r="Z104" i="5" a="1"/>
  <c r="Z104" i="5" s="1"/>
  <c r="Z50" i="5" a="1"/>
  <c r="Z50" i="5" s="1"/>
  <c r="Z83" i="5" a="1"/>
  <c r="Z83" i="5" s="1"/>
  <c r="Z67" i="5" a="1"/>
  <c r="Z67" i="5" s="1"/>
  <c r="Z120" i="5" a="1"/>
  <c r="Z120" i="5" s="1"/>
  <c r="Z114" i="5" a="1"/>
  <c r="Z114" i="5" s="1"/>
  <c r="Z43" i="5" a="1"/>
  <c r="Z43" i="5" s="1"/>
  <c r="Z97" i="5" a="1"/>
  <c r="Z97" i="5" s="1"/>
  <c r="Z30" i="5" a="1"/>
  <c r="Z30" i="5" s="1"/>
  <c r="Z59" i="5" a="1"/>
  <c r="Z59" i="5" s="1"/>
  <c r="Z88" i="5" a="1"/>
  <c r="Z88" i="5" s="1"/>
  <c r="Z89" i="5" a="1"/>
  <c r="Z89" i="5" s="1"/>
  <c r="Z32" i="5" a="1"/>
  <c r="Z32" i="5" s="1"/>
  <c r="Z81" i="5" a="1"/>
  <c r="Z81" i="5" s="1"/>
  <c r="Z42" i="5" a="1"/>
  <c r="Z42" i="5" s="1"/>
  <c r="Z82" i="5" a="1"/>
  <c r="Z82" i="5" s="1"/>
  <c r="Z79" i="5" a="1"/>
  <c r="Z79" i="5" s="1"/>
  <c r="Z37" i="5" a="1"/>
  <c r="Z37" i="5" s="1"/>
  <c r="Z39" i="5" a="1"/>
  <c r="Z39" i="5" s="1"/>
  <c r="Z29" i="5" a="1"/>
  <c r="Z29" i="5" s="1"/>
  <c r="Z25" i="5" a="1"/>
  <c r="Z25" i="5" s="1"/>
  <c r="Z100" i="5" a="1"/>
  <c r="Z100" i="5" s="1"/>
  <c r="Z53" i="5" a="1"/>
  <c r="Z53" i="5" s="1"/>
  <c r="Z64" i="5" a="1"/>
  <c r="Z64" i="5" s="1"/>
  <c r="Z34" i="5" a="1"/>
  <c r="Z34" i="5" s="1"/>
  <c r="Z115" i="5" a="1"/>
  <c r="Z115" i="5" s="1"/>
  <c r="Z106" i="5" a="1"/>
  <c r="Z106" i="5" s="1"/>
  <c r="Z60" i="5" a="1"/>
  <c r="Z60" i="5" s="1"/>
  <c r="Z26" i="5" a="1"/>
  <c r="Z26" i="5" s="1"/>
  <c r="Z41" i="5" a="1"/>
  <c r="Z41" i="5" s="1"/>
  <c r="Z92" i="5" a="1"/>
  <c r="Z92" i="5" s="1"/>
  <c r="Z65" i="5" a="1"/>
  <c r="Z65" i="5" s="1"/>
  <c r="Z116" i="5" a="1"/>
  <c r="Z116" i="5" s="1"/>
  <c r="Z91" i="5" a="1"/>
  <c r="Z91" i="5" s="1"/>
  <c r="Z46" i="5" a="1"/>
  <c r="Z46" i="5" s="1"/>
  <c r="Z70" i="5" a="1"/>
  <c r="Z70" i="5" s="1"/>
  <c r="Z63" i="5" a="1"/>
  <c r="Z63" i="5" s="1"/>
  <c r="Z58" i="5" a="1"/>
  <c r="Z58" i="5" s="1"/>
  <c r="Z111" i="5" a="1"/>
  <c r="Z111" i="5" s="1"/>
  <c r="Z118" i="5" a="1"/>
  <c r="Z118" i="5" s="1"/>
  <c r="Z31" i="5" a="1"/>
  <c r="Z31" i="5" s="1"/>
  <c r="Z28" i="5" a="1"/>
  <c r="Z28" i="5" s="1"/>
  <c r="Z96" i="5" a="1"/>
  <c r="Z96" i="5" s="1"/>
  <c r="Z112" i="5" a="1"/>
  <c r="Z112" i="5" s="1"/>
  <c r="Z56" i="5" a="1"/>
  <c r="Z56" i="5" s="1"/>
  <c r="Z73" i="5" a="1"/>
  <c r="Z73" i="5" s="1"/>
  <c r="Z119" i="5" a="1"/>
  <c r="Z119" i="5" s="1"/>
  <c r="Z54" i="5" a="1"/>
  <c r="Z54" i="5" s="1"/>
  <c r="Z75" i="5" a="1"/>
  <c r="Z75" i="5" s="1"/>
  <c r="Z85" i="5" a="1"/>
  <c r="Z85" i="5" s="1"/>
  <c r="Z40" i="5" a="1"/>
  <c r="Z40" i="5" s="1"/>
  <c r="Z52" i="5" a="1"/>
  <c r="Z52" i="5" s="1"/>
  <c r="Z101" i="5" a="1"/>
  <c r="Z101" i="5" s="1"/>
  <c r="Z103" i="5" a="1"/>
  <c r="Z103" i="5" s="1"/>
  <c r="Z107" i="5" a="1"/>
  <c r="Z107" i="5" s="1"/>
  <c r="Z123" i="5" a="1"/>
  <c r="Z123" i="5" s="1"/>
  <c r="Z48" i="5" a="1"/>
  <c r="Z48" i="5" s="1"/>
  <c r="Z102" i="5" a="1"/>
  <c r="Z102" i="5" s="1"/>
  <c r="Z66" i="5" a="1"/>
  <c r="Z66" i="5" s="1"/>
  <c r="Z74" i="5" a="1"/>
  <c r="Z74" i="5" s="1"/>
  <c r="Z36" i="5" a="1"/>
  <c r="Z36" i="5" s="1"/>
  <c r="Z108" i="5" a="1"/>
  <c r="Z108" i="5" s="1"/>
  <c r="Z71" i="5" a="1"/>
  <c r="Z71" i="5" s="1"/>
  <c r="Z117" i="5" a="1"/>
  <c r="Z117" i="5" s="1"/>
  <c r="Z90" i="5" a="1"/>
  <c r="Z90" i="5" s="1"/>
  <c r="Z61" i="5" a="1"/>
  <c r="Z61" i="5" s="1"/>
  <c r="Z94" i="5" a="1"/>
  <c r="Z94" i="5" s="1"/>
  <c r="Z38" i="5" a="1"/>
  <c r="Z38" i="5" s="1"/>
  <c r="Z35" i="5" a="1"/>
  <c r="Z35" i="5" s="1"/>
  <c r="Z87" i="5" a="1"/>
  <c r="Z87" i="5" s="1"/>
  <c r="Z105" i="5" a="1"/>
  <c r="Z105" i="5" s="1"/>
  <c r="Z69" i="5" a="1"/>
  <c r="Z69" i="5" s="1"/>
  <c r="Z55" i="5" a="1"/>
  <c r="Z55" i="5" s="1"/>
  <c r="Z99" i="5" a="1"/>
  <c r="Z99" i="5" s="1"/>
  <c r="Z113" i="5" a="1"/>
  <c r="Z113" i="5" s="1"/>
  <c r="Z109" i="5" a="1"/>
  <c r="Z109" i="5" s="1"/>
  <c r="Z44" i="5" a="1"/>
  <c r="Z44" i="5" s="1"/>
  <c r="Z78" i="5" a="1"/>
  <c r="Z78" i="5" s="1"/>
  <c r="Z68" i="5" a="1"/>
  <c r="Z68" i="5" s="1"/>
  <c r="Z95" i="5" a="1"/>
  <c r="Z95" i="5" s="1"/>
  <c r="Z51" i="5" a="1"/>
  <c r="Z51" i="5" s="1"/>
  <c r="Z84" i="5" a="1"/>
  <c r="Z84" i="5" s="1"/>
  <c r="Z49" i="5" a="1"/>
  <c r="Z49" i="5" s="1"/>
  <c r="Z62" i="5" a="1"/>
  <c r="Z62" i="5" s="1"/>
  <c r="Z121" i="5" a="1"/>
  <c r="Z121" i="5" s="1"/>
  <c r="Z122" i="5" a="1"/>
  <c r="Z122" i="5" s="1"/>
  <c r="Z110" i="5" a="1"/>
  <c r="Z110" i="5" s="1"/>
  <c r="Z93" i="5" a="1"/>
  <c r="Z93" i="5" s="1"/>
  <c r="Z33" i="5" a="1"/>
  <c r="Z33" i="5" s="1"/>
  <c r="Z47" i="5" a="1"/>
  <c r="Z47" i="5" s="1"/>
  <c r="Z86" i="5" a="1"/>
  <c r="Z86" i="5" s="1"/>
  <c r="Z27" i="5" a="1"/>
  <c r="Z27" i="5" s="1"/>
  <c r="Z80" i="5" a="1"/>
  <c r="Z80" i="5" s="1"/>
  <c r="Z45" i="5" a="1"/>
  <c r="Z45" i="5" s="1"/>
  <c r="Z72" i="5" a="1"/>
  <c r="Z72" i="5" s="1"/>
  <c r="Z21" i="5" l="1"/>
  <c r="Z22" i="5" l="1"/>
  <c r="Z23" i="5"/>
  <c r="AP77" i="5" l="1"/>
  <c r="BG77" i="5" s="1"/>
  <c r="AP67" i="5"/>
  <c r="BG67" i="5" s="1"/>
  <c r="AP89" i="5"/>
  <c r="BG89" i="5" s="1"/>
  <c r="AP29" i="5"/>
  <c r="BG29" i="5" s="1"/>
  <c r="AP60" i="5"/>
  <c r="BG60" i="5" s="1"/>
  <c r="AP70" i="5"/>
  <c r="BG70" i="5" s="1"/>
  <c r="AP112" i="5"/>
  <c r="BG112" i="5" s="1"/>
  <c r="AP52" i="5"/>
  <c r="BG52" i="5" s="1"/>
  <c r="AP74" i="5"/>
  <c r="BG74" i="5" s="1"/>
  <c r="AP38" i="5"/>
  <c r="BG38" i="5" s="1"/>
  <c r="AP109" i="5"/>
  <c r="BG109" i="5" s="1"/>
  <c r="AP62" i="5"/>
  <c r="BG62" i="5" s="1"/>
  <c r="AP27" i="5"/>
  <c r="BG27" i="5" s="1"/>
  <c r="AP59" i="5"/>
  <c r="BG59" i="5" s="1"/>
  <c r="AP47" i="5"/>
  <c r="BG47" i="5" s="1"/>
  <c r="AP76" i="5"/>
  <c r="BG76" i="5" s="1"/>
  <c r="AP120" i="5"/>
  <c r="BG120" i="5" s="1"/>
  <c r="AP32" i="5"/>
  <c r="BG32" i="5" s="1"/>
  <c r="AP25" i="5"/>
  <c r="BG25" i="5" s="1"/>
  <c r="AP26" i="5"/>
  <c r="BG26" i="5" s="1"/>
  <c r="AP63" i="5"/>
  <c r="BG63" i="5" s="1"/>
  <c r="AP56" i="5"/>
  <c r="BG56" i="5" s="1"/>
  <c r="AP101" i="5"/>
  <c r="BG101" i="5" s="1"/>
  <c r="AP36" i="5"/>
  <c r="BG36" i="5" s="1"/>
  <c r="AP35" i="5"/>
  <c r="BG35" i="5" s="1"/>
  <c r="AP44" i="5"/>
  <c r="BG44" i="5" s="1"/>
  <c r="AP121" i="5"/>
  <c r="BG121" i="5" s="1"/>
  <c r="AP80" i="5"/>
  <c r="BG80" i="5" s="1"/>
  <c r="AP83" i="5"/>
  <c r="BG83" i="5" s="1"/>
  <c r="AP88" i="5"/>
  <c r="BG88" i="5" s="1"/>
  <c r="AP39" i="5"/>
  <c r="BG39" i="5" s="1"/>
  <c r="AP106" i="5"/>
  <c r="BG106" i="5" s="1"/>
  <c r="AP96" i="5"/>
  <c r="BG96" i="5" s="1"/>
  <c r="AP40" i="5"/>
  <c r="BG40" i="5" s="1"/>
  <c r="AP94" i="5"/>
  <c r="BG94" i="5" s="1"/>
  <c r="AP49" i="5"/>
  <c r="BG49" i="5" s="1"/>
  <c r="AP57" i="5"/>
  <c r="BG57" i="5" s="1"/>
  <c r="AP114" i="5"/>
  <c r="BG114" i="5" s="1"/>
  <c r="AP81" i="5"/>
  <c r="BG81" i="5" s="1"/>
  <c r="AP100" i="5"/>
  <c r="BG100" i="5" s="1"/>
  <c r="AP41" i="5"/>
  <c r="BG41" i="5" s="1"/>
  <c r="AP58" i="5"/>
  <c r="BG58" i="5" s="1"/>
  <c r="AP73" i="5"/>
  <c r="BG73" i="5" s="1"/>
  <c r="AP103" i="5"/>
  <c r="BG103" i="5" s="1"/>
  <c r="AP108" i="5"/>
  <c r="BG108" i="5" s="1"/>
  <c r="AP87" i="5"/>
  <c r="BG87" i="5" s="1"/>
  <c r="AP78" i="5"/>
  <c r="BG78" i="5" s="1"/>
  <c r="AP122" i="5"/>
  <c r="BG122" i="5" s="1"/>
  <c r="AP45" i="5"/>
  <c r="BG45" i="5" s="1"/>
  <c r="AP124" i="5"/>
  <c r="BG124" i="5" s="1"/>
  <c r="AP43" i="5"/>
  <c r="BG43" i="5" s="1"/>
  <c r="AP42" i="5"/>
  <c r="BG42" i="5" s="1"/>
  <c r="AP53" i="5"/>
  <c r="BG53" i="5" s="1"/>
  <c r="AP92" i="5"/>
  <c r="BG92" i="5" s="1"/>
  <c r="AP111" i="5"/>
  <c r="BG111" i="5" s="1"/>
  <c r="AP119" i="5"/>
  <c r="BG119" i="5" s="1"/>
  <c r="AP107" i="5"/>
  <c r="BG107" i="5" s="1"/>
  <c r="AP71" i="5"/>
  <c r="BG71" i="5" s="1"/>
  <c r="AP105" i="5"/>
  <c r="BG105" i="5" s="1"/>
  <c r="AP68" i="5"/>
  <c r="BG68" i="5" s="1"/>
  <c r="AP110" i="5"/>
  <c r="BG110" i="5" s="1"/>
  <c r="AP72" i="5"/>
  <c r="BG72" i="5" s="1"/>
  <c r="AP85" i="5"/>
  <c r="BG85" i="5" s="1"/>
  <c r="AP98" i="5"/>
  <c r="BG98" i="5" s="1"/>
  <c r="AP97" i="5"/>
  <c r="BG97" i="5" s="1"/>
  <c r="AP82" i="5"/>
  <c r="BG82" i="5" s="1"/>
  <c r="AP64" i="5"/>
  <c r="BG64" i="5" s="1"/>
  <c r="AP65" i="5"/>
  <c r="BG65" i="5" s="1"/>
  <c r="AP118" i="5"/>
  <c r="BG118" i="5" s="1"/>
  <c r="AP54" i="5"/>
  <c r="BG54" i="5" s="1"/>
  <c r="AP123" i="5"/>
  <c r="BG123" i="5" s="1"/>
  <c r="AP117" i="5"/>
  <c r="BG117" i="5" s="1"/>
  <c r="AP69" i="5"/>
  <c r="BG69" i="5" s="1"/>
  <c r="AP95" i="5"/>
  <c r="BG95" i="5" s="1"/>
  <c r="AP93" i="5"/>
  <c r="BG93" i="5" s="1"/>
  <c r="AP46" i="5"/>
  <c r="BG46" i="5" s="1"/>
  <c r="AP66" i="5"/>
  <c r="BG66" i="5" s="1"/>
  <c r="AP113" i="5"/>
  <c r="BG113" i="5" s="1"/>
  <c r="AP86" i="5"/>
  <c r="BG86" i="5" s="1"/>
  <c r="AP104" i="5"/>
  <c r="BG104" i="5" s="1"/>
  <c r="AP30" i="5"/>
  <c r="BG30" i="5" s="1"/>
  <c r="AP79" i="5"/>
  <c r="BG79" i="5" s="1"/>
  <c r="AP34" i="5"/>
  <c r="BG34" i="5" s="1"/>
  <c r="AP116" i="5"/>
  <c r="BG116" i="5" s="1"/>
  <c r="AP31" i="5"/>
  <c r="BG31" i="5" s="1"/>
  <c r="AP75" i="5"/>
  <c r="BG75" i="5" s="1"/>
  <c r="AP48" i="5"/>
  <c r="BG48" i="5" s="1"/>
  <c r="AP90" i="5"/>
  <c r="BG90" i="5" s="1"/>
  <c r="AP55" i="5"/>
  <c r="BG55" i="5" s="1"/>
  <c r="AP51" i="5"/>
  <c r="BG51" i="5" s="1"/>
  <c r="AP33" i="5"/>
  <c r="BG33" i="5" s="1"/>
  <c r="AP50" i="5"/>
  <c r="BG50" i="5" s="1"/>
  <c r="AP37" i="5"/>
  <c r="BG37" i="5" s="1"/>
  <c r="AP115" i="5"/>
  <c r="BG115" i="5" s="1"/>
  <c r="AP91" i="5"/>
  <c r="BG91" i="5" s="1"/>
  <c r="AP28" i="5"/>
  <c r="BG28" i="5" s="1"/>
  <c r="AP102" i="5"/>
  <c r="BG102" i="5" s="1"/>
  <c r="AP61" i="5"/>
  <c r="BG61" i="5" s="1"/>
  <c r="AP99" i="5"/>
  <c r="BG99" i="5" s="1"/>
  <c r="AP84" i="5"/>
  <c r="BG84" i="5" s="1"/>
  <c r="AA104" i="5" l="1" a="1"/>
  <c r="AA104" i="5" s="1"/>
  <c r="AA91" i="5" a="1"/>
  <c r="AA91" i="5" s="1"/>
  <c r="AA59" i="5" a="1"/>
  <c r="AA59" i="5" s="1"/>
  <c r="AA37" i="5" a="1"/>
  <c r="AA37" i="5" s="1"/>
  <c r="AA66" i="5" a="1"/>
  <c r="AA66" i="5" s="1"/>
  <c r="AA110" i="5" a="1"/>
  <c r="AA110" i="5" s="1"/>
  <c r="AA108" i="5" a="1"/>
  <c r="AA108" i="5" s="1"/>
  <c r="AA83" i="5" a="1"/>
  <c r="AA83" i="5" s="1"/>
  <c r="AA27" i="5" a="1"/>
  <c r="AA27" i="5" s="1"/>
  <c r="AA50" i="5" a="1"/>
  <c r="AA50" i="5" s="1"/>
  <c r="AA46" i="5" a="1"/>
  <c r="AA46" i="5" s="1"/>
  <c r="AA68" i="5" a="1"/>
  <c r="AA68" i="5" s="1"/>
  <c r="AA103" i="5" a="1"/>
  <c r="AA103" i="5" s="1"/>
  <c r="AA80" i="5" a="1"/>
  <c r="AA80" i="5" s="1"/>
  <c r="AA62" i="5" a="1"/>
  <c r="AA62" i="5" s="1"/>
  <c r="AA93" i="5" a="1"/>
  <c r="AA93" i="5" s="1"/>
  <c r="AA109" i="5" a="1"/>
  <c r="AA109" i="5" s="1"/>
  <c r="AA38" i="5" a="1"/>
  <c r="AA38" i="5" s="1"/>
  <c r="AA28" i="5" a="1"/>
  <c r="AA28" i="5" s="1"/>
  <c r="AA74" i="5" a="1"/>
  <c r="AA74" i="5" s="1"/>
  <c r="AA76" i="5" a="1"/>
  <c r="AA76" i="5" s="1"/>
  <c r="AA52" i="5" a="1"/>
  <c r="AA52" i="5" s="1"/>
  <c r="AA85" i="5" a="1"/>
  <c r="AA85" i="5" s="1"/>
  <c r="AA112" i="5" a="1"/>
  <c r="AA112" i="5" s="1"/>
  <c r="AA47" i="5" a="1"/>
  <c r="AA47" i="5" s="1"/>
  <c r="AA70" i="5" a="1"/>
  <c r="AA70" i="5" s="1"/>
  <c r="AA88" i="5" a="1"/>
  <c r="AA88" i="5" s="1"/>
  <c r="AA98" i="5" a="1"/>
  <c r="AA98" i="5" s="1"/>
  <c r="AA78" i="5" a="1"/>
  <c r="AA78" i="5" s="1"/>
  <c r="AA72" i="5" a="1"/>
  <c r="AA72" i="5" s="1"/>
  <c r="AA121" i="5" a="1"/>
  <c r="AA121" i="5" s="1"/>
  <c r="AA71" i="5" a="1"/>
  <c r="AA71" i="5" s="1"/>
  <c r="AA55" i="5" a="1"/>
  <c r="AA55" i="5" s="1"/>
  <c r="AA107" i="5" a="1"/>
  <c r="AA107" i="5" s="1"/>
  <c r="AA100" i="5" a="1"/>
  <c r="AA100" i="5" s="1"/>
  <c r="AA123" i="5" a="1"/>
  <c r="AA123" i="5" s="1"/>
  <c r="AA81" i="5" a="1"/>
  <c r="AA81" i="5" s="1"/>
  <c r="AA56" i="5" a="1"/>
  <c r="AA56" i="5" s="1"/>
  <c r="AA118" i="5" a="1"/>
  <c r="AA118" i="5" s="1"/>
  <c r="AA53" i="5" a="1"/>
  <c r="AA53" i="5" s="1"/>
  <c r="AA60" i="5" a="1"/>
  <c r="AA60" i="5" s="1"/>
  <c r="AA84" i="5" a="1"/>
  <c r="AA84" i="5" s="1"/>
  <c r="AA116" i="5" a="1"/>
  <c r="AA116" i="5" s="1"/>
  <c r="AA65" i="5" a="1"/>
  <c r="AA65" i="5" s="1"/>
  <c r="AA42" i="5" a="1"/>
  <c r="AA42" i="5" s="1"/>
  <c r="AA49" i="5" a="1"/>
  <c r="AA49" i="5" s="1"/>
  <c r="AA26" i="5" a="1"/>
  <c r="AA26" i="5" s="1"/>
  <c r="AA29" i="5" a="1"/>
  <c r="AA29" i="5" s="1"/>
  <c r="AA122" i="5" a="1"/>
  <c r="AA122" i="5" s="1"/>
  <c r="AA115" i="5" a="1"/>
  <c r="AA115" i="5" s="1"/>
  <c r="AA44" i="5" a="1"/>
  <c r="AA44" i="5" s="1"/>
  <c r="AA36" i="5" a="1"/>
  <c r="AA36" i="5" s="1"/>
  <c r="AA114" i="5" a="1"/>
  <c r="AA114" i="5" s="1"/>
  <c r="AA99" i="5" a="1"/>
  <c r="AA99" i="5" s="1"/>
  <c r="AA34" i="5" a="1"/>
  <c r="AA34" i="5" s="1"/>
  <c r="AA64" i="5" a="1"/>
  <c r="AA64" i="5" s="1"/>
  <c r="AA43" i="5" a="1"/>
  <c r="AA43" i="5" s="1"/>
  <c r="AA94" i="5" a="1"/>
  <c r="AA94" i="5" s="1"/>
  <c r="AA25" i="5" a="1"/>
  <c r="AA25" i="5" s="1"/>
  <c r="AA89" i="5" a="1"/>
  <c r="AA89" i="5" s="1"/>
  <c r="AA106" i="5" a="1"/>
  <c r="AA106" i="5" s="1"/>
  <c r="AA86" i="5" a="1"/>
  <c r="AA86" i="5" s="1"/>
  <c r="AA87" i="5" a="1"/>
  <c r="AA87" i="5" s="1"/>
  <c r="AA33" i="5" a="1"/>
  <c r="AA33" i="5" s="1"/>
  <c r="AA105" i="5" a="1"/>
  <c r="AA105" i="5" s="1"/>
  <c r="AA58" i="5" a="1"/>
  <c r="AA58" i="5" s="1"/>
  <c r="AA41" i="5" a="1"/>
  <c r="AA41" i="5" s="1"/>
  <c r="AA117" i="5" a="1"/>
  <c r="AA117" i="5" s="1"/>
  <c r="AA48" i="5" a="1"/>
  <c r="AA48" i="5" s="1"/>
  <c r="AA111" i="5" a="1"/>
  <c r="AA111" i="5" s="1"/>
  <c r="AA75" i="5" a="1"/>
  <c r="AA75" i="5" s="1"/>
  <c r="AA92" i="5" a="1"/>
  <c r="AA92" i="5" s="1"/>
  <c r="AA31" i="5" a="1"/>
  <c r="AA31" i="5" s="1"/>
  <c r="AA57" i="5" a="1"/>
  <c r="AA57" i="5" s="1"/>
  <c r="AA61" i="5" a="1"/>
  <c r="AA61" i="5" s="1"/>
  <c r="AA79" i="5" a="1"/>
  <c r="AA79" i="5" s="1"/>
  <c r="AA82" i="5" a="1"/>
  <c r="AA82" i="5" s="1"/>
  <c r="AA124" i="5" a="1"/>
  <c r="AA124" i="5" s="1"/>
  <c r="AA40" i="5" a="1"/>
  <c r="AA40" i="5" s="1"/>
  <c r="AA32" i="5" a="1"/>
  <c r="AA32" i="5" s="1"/>
  <c r="AA67" i="5" a="1"/>
  <c r="AA67" i="5" s="1"/>
  <c r="AA39" i="5" a="1"/>
  <c r="AA39" i="5" s="1"/>
  <c r="AA113" i="5" a="1"/>
  <c r="AA113" i="5" s="1"/>
  <c r="AA73" i="5" a="1"/>
  <c r="AA73" i="5" s="1"/>
  <c r="AA51" i="5" a="1"/>
  <c r="AA51" i="5" s="1"/>
  <c r="AA95" i="5" a="1"/>
  <c r="AA95" i="5" s="1"/>
  <c r="AA69" i="5" a="1"/>
  <c r="AA69" i="5" s="1"/>
  <c r="AA35" i="5" a="1"/>
  <c r="AA35" i="5" s="1"/>
  <c r="AA90" i="5" a="1"/>
  <c r="AA90" i="5" s="1"/>
  <c r="AA119" i="5" a="1"/>
  <c r="AA119" i="5" s="1"/>
  <c r="AA101" i="5" a="1"/>
  <c r="AA101" i="5" s="1"/>
  <c r="AA54" i="5" a="1"/>
  <c r="AA54" i="5" s="1"/>
  <c r="AA63" i="5" a="1"/>
  <c r="AA63" i="5" s="1"/>
  <c r="AA102" i="5" a="1"/>
  <c r="AA102" i="5" s="1"/>
  <c r="AA30" i="5" a="1"/>
  <c r="AA30" i="5" s="1"/>
  <c r="AA97" i="5" a="1"/>
  <c r="AA97" i="5" s="1"/>
  <c r="AA45" i="5" a="1"/>
  <c r="AA45" i="5" s="1"/>
  <c r="AA96" i="5" a="1"/>
  <c r="AA96" i="5" s="1"/>
  <c r="AA120" i="5" a="1"/>
  <c r="AA120" i="5" s="1"/>
  <c r="AA77" i="5" a="1"/>
  <c r="AA77" i="5" s="1"/>
  <c r="AA21" i="5" l="1"/>
  <c r="AA23" i="5" l="1"/>
  <c r="AA22" i="5"/>
  <c r="AQ104" i="5" l="1"/>
  <c r="BH104" i="5" s="1"/>
  <c r="AQ27" i="5"/>
  <c r="BH27" i="5" s="1"/>
  <c r="AQ109" i="5"/>
  <c r="BH109" i="5" s="1"/>
  <c r="AQ47" i="5"/>
  <c r="BH47" i="5" s="1"/>
  <c r="AQ55" i="5"/>
  <c r="BH55" i="5" s="1"/>
  <c r="AQ60" i="5"/>
  <c r="BH60" i="5" s="1"/>
  <c r="AQ122" i="5"/>
  <c r="BH122" i="5" s="1"/>
  <c r="AQ43" i="5"/>
  <c r="BH43" i="5" s="1"/>
  <c r="AQ105" i="5"/>
  <c r="BH105" i="5" s="1"/>
  <c r="AQ31" i="5"/>
  <c r="BH31" i="5" s="1"/>
  <c r="AQ67" i="5"/>
  <c r="BH67" i="5" s="1"/>
  <c r="AQ90" i="5"/>
  <c r="BH90" i="5" s="1"/>
  <c r="AQ45" i="5"/>
  <c r="BH45" i="5" s="1"/>
  <c r="AQ91" i="5"/>
  <c r="BH91" i="5" s="1"/>
  <c r="AQ50" i="5"/>
  <c r="BH50" i="5" s="1"/>
  <c r="AQ38" i="5"/>
  <c r="BH38" i="5" s="1"/>
  <c r="AQ70" i="5"/>
  <c r="BH70" i="5" s="1"/>
  <c r="AQ107" i="5"/>
  <c r="BH107" i="5" s="1"/>
  <c r="AQ84" i="5"/>
  <c r="BH84" i="5" s="1"/>
  <c r="AQ115" i="5"/>
  <c r="BH115" i="5" s="1"/>
  <c r="AQ94" i="5"/>
  <c r="BH94" i="5" s="1"/>
  <c r="AQ58" i="5"/>
  <c r="BH58" i="5" s="1"/>
  <c r="AQ57" i="5"/>
  <c r="BH57" i="5" s="1"/>
  <c r="AQ39" i="5"/>
  <c r="BH39" i="5" s="1"/>
  <c r="AQ119" i="5"/>
  <c r="BH119" i="5" s="1"/>
  <c r="AQ96" i="5"/>
  <c r="BH96" i="5" s="1"/>
  <c r="AQ59" i="5"/>
  <c r="BH59" i="5" s="1"/>
  <c r="AQ46" i="5"/>
  <c r="BH46" i="5" s="1"/>
  <c r="AQ28" i="5"/>
  <c r="BH28" i="5" s="1"/>
  <c r="AQ88" i="5"/>
  <c r="BH88" i="5" s="1"/>
  <c r="AQ100" i="5"/>
  <c r="BH100" i="5" s="1"/>
  <c r="AQ116" i="5"/>
  <c r="BH116" i="5" s="1"/>
  <c r="AQ44" i="5"/>
  <c r="BH44" i="5" s="1"/>
  <c r="AQ25" i="5"/>
  <c r="BH25" i="5" s="1"/>
  <c r="AQ41" i="5"/>
  <c r="BH41" i="5" s="1"/>
  <c r="AQ61" i="5"/>
  <c r="BH61" i="5" s="1"/>
  <c r="AQ113" i="5"/>
  <c r="BH113" i="5" s="1"/>
  <c r="AQ101" i="5"/>
  <c r="BH101" i="5" s="1"/>
  <c r="AQ120" i="5"/>
  <c r="BH120" i="5" s="1"/>
  <c r="AQ37" i="5"/>
  <c r="BH37" i="5" s="1"/>
  <c r="AQ68" i="5"/>
  <c r="BH68" i="5" s="1"/>
  <c r="AQ74" i="5"/>
  <c r="BH74" i="5" s="1"/>
  <c r="AQ98" i="5"/>
  <c r="BH98" i="5" s="1"/>
  <c r="AQ123" i="5"/>
  <c r="BH123" i="5" s="1"/>
  <c r="AQ65" i="5"/>
  <c r="BH65" i="5" s="1"/>
  <c r="AQ36" i="5"/>
  <c r="BH36" i="5" s="1"/>
  <c r="AQ89" i="5"/>
  <c r="BH89" i="5" s="1"/>
  <c r="AQ117" i="5"/>
  <c r="BH117" i="5" s="1"/>
  <c r="AQ79" i="5"/>
  <c r="BH79" i="5" s="1"/>
  <c r="AQ73" i="5"/>
  <c r="BH73" i="5" s="1"/>
  <c r="AQ54" i="5"/>
  <c r="BH54" i="5" s="1"/>
  <c r="AQ77" i="5"/>
  <c r="BH77" i="5" s="1"/>
  <c r="AQ66" i="5"/>
  <c r="BH66" i="5" s="1"/>
  <c r="AQ103" i="5"/>
  <c r="BH103" i="5" s="1"/>
  <c r="AQ76" i="5"/>
  <c r="BH76" i="5" s="1"/>
  <c r="AQ78" i="5"/>
  <c r="BH78" i="5" s="1"/>
  <c r="AQ81" i="5"/>
  <c r="BH81" i="5" s="1"/>
  <c r="AQ42" i="5"/>
  <c r="BH42" i="5" s="1"/>
  <c r="AQ114" i="5"/>
  <c r="BH114" i="5" s="1"/>
  <c r="AQ106" i="5"/>
  <c r="BH106" i="5" s="1"/>
  <c r="AQ48" i="5"/>
  <c r="BH48" i="5" s="1"/>
  <c r="AQ82" i="5"/>
  <c r="BH82" i="5" s="1"/>
  <c r="AQ51" i="5"/>
  <c r="BH51" i="5" s="1"/>
  <c r="AQ63" i="5"/>
  <c r="BH63" i="5" s="1"/>
  <c r="AQ83" i="5"/>
  <c r="BH83" i="5" s="1"/>
  <c r="AQ93" i="5"/>
  <c r="BH93" i="5" s="1"/>
  <c r="AQ112" i="5"/>
  <c r="BH112" i="5" s="1"/>
  <c r="AQ71" i="5"/>
  <c r="BH71" i="5" s="1"/>
  <c r="AQ53" i="5"/>
  <c r="BH53" i="5" s="1"/>
  <c r="AQ29" i="5"/>
  <c r="BH29" i="5" s="1"/>
  <c r="AQ64" i="5"/>
  <c r="BH64" i="5" s="1"/>
  <c r="AQ33" i="5"/>
  <c r="BH33" i="5" s="1"/>
  <c r="AQ92" i="5"/>
  <c r="BH92" i="5" s="1"/>
  <c r="AQ32" i="5"/>
  <c r="BH32" i="5" s="1"/>
  <c r="AQ35" i="5"/>
  <c r="BH35" i="5" s="1"/>
  <c r="AQ97" i="5"/>
  <c r="BH97" i="5" s="1"/>
  <c r="AQ110" i="5"/>
  <c r="BH110" i="5" s="1"/>
  <c r="AQ80" i="5"/>
  <c r="BH80" i="5" s="1"/>
  <c r="AQ52" i="5"/>
  <c r="BH52" i="5" s="1"/>
  <c r="AQ72" i="5"/>
  <c r="BH72" i="5" s="1"/>
  <c r="AQ56" i="5"/>
  <c r="BH56" i="5" s="1"/>
  <c r="AQ49" i="5"/>
  <c r="BH49" i="5" s="1"/>
  <c r="AQ99" i="5"/>
  <c r="BH99" i="5" s="1"/>
  <c r="AQ86" i="5"/>
  <c r="BH86" i="5" s="1"/>
  <c r="AQ111" i="5"/>
  <c r="BH111" i="5" s="1"/>
  <c r="AQ124" i="5"/>
  <c r="BH124" i="5" s="1"/>
  <c r="AQ95" i="5"/>
  <c r="BH95" i="5" s="1"/>
  <c r="AQ102" i="5"/>
  <c r="BH102" i="5" s="1"/>
  <c r="AQ108" i="5"/>
  <c r="BH108" i="5" s="1"/>
  <c r="AQ62" i="5"/>
  <c r="BH62" i="5" s="1"/>
  <c r="AQ85" i="5"/>
  <c r="BH85" i="5" s="1"/>
  <c r="AQ121" i="5"/>
  <c r="BH121" i="5" s="1"/>
  <c r="AQ118" i="5"/>
  <c r="BH118" i="5" s="1"/>
  <c r="AQ26" i="5"/>
  <c r="BH26" i="5" s="1"/>
  <c r="AQ34" i="5"/>
  <c r="BH34" i="5" s="1"/>
  <c r="AQ87" i="5"/>
  <c r="BH87" i="5" s="1"/>
  <c r="AQ75" i="5"/>
  <c r="BH75" i="5" s="1"/>
  <c r="AQ40" i="5"/>
  <c r="BH40" i="5" s="1"/>
  <c r="AQ69" i="5"/>
  <c r="BH69" i="5" s="1"/>
  <c r="AQ30" i="5"/>
  <c r="BH30" i="5" s="1"/>
  <c r="AB72" i="5" l="1" a="1"/>
  <c r="AB72" i="5" s="1"/>
  <c r="AB100" i="5" a="1"/>
  <c r="AB100" i="5" s="1"/>
  <c r="AB82" i="5" a="1"/>
  <c r="AB82" i="5" s="1"/>
  <c r="AB118" i="5" a="1"/>
  <c r="AB118" i="5" s="1"/>
  <c r="AB65" i="5" a="1"/>
  <c r="AB65" i="5" s="1"/>
  <c r="AB28" i="5" a="1"/>
  <c r="AB28" i="5" s="1"/>
  <c r="AB45" i="5" a="1"/>
  <c r="AB45" i="5" s="1"/>
  <c r="AB121" i="5" a="1"/>
  <c r="AB121" i="5" s="1"/>
  <c r="AB97" i="5" a="1"/>
  <c r="AB97" i="5" s="1"/>
  <c r="AB106" i="5" a="1"/>
  <c r="AB106" i="5" s="1"/>
  <c r="AB123" i="5" a="1"/>
  <c r="AB123" i="5" s="1"/>
  <c r="AB46" i="5" a="1"/>
  <c r="AB46" i="5" s="1"/>
  <c r="AB90" i="5" a="1"/>
  <c r="AB90" i="5" s="1"/>
  <c r="AB38" i="5" a="1"/>
  <c r="AB38" i="5" s="1"/>
  <c r="AB59" i="5" a="1"/>
  <c r="AB59" i="5" s="1"/>
  <c r="AB67" i="5" a="1"/>
  <c r="AB67" i="5" s="1"/>
  <c r="AB42" i="5" a="1"/>
  <c r="AB42" i="5" s="1"/>
  <c r="AB74" i="5" a="1"/>
  <c r="AB74" i="5" s="1"/>
  <c r="AB96" i="5" a="1"/>
  <c r="AB96" i="5" s="1"/>
  <c r="AB31" i="5" a="1"/>
  <c r="AB31" i="5" s="1"/>
  <c r="AB52" i="5" a="1"/>
  <c r="AB52" i="5" s="1"/>
  <c r="AB68" i="5" a="1"/>
  <c r="AB68" i="5" s="1"/>
  <c r="AB119" i="5" a="1"/>
  <c r="AB119" i="5" s="1"/>
  <c r="AB105" i="5" a="1"/>
  <c r="AB105" i="5" s="1"/>
  <c r="AB50" i="5" a="1"/>
  <c r="AB50" i="5" s="1"/>
  <c r="AB37" i="5" a="1"/>
  <c r="AB37" i="5" s="1"/>
  <c r="AB39" i="5" a="1"/>
  <c r="AB39" i="5" s="1"/>
  <c r="AB43" i="5" a="1"/>
  <c r="AB43" i="5" s="1"/>
  <c r="AB122" i="5" a="1"/>
  <c r="AB122" i="5" s="1"/>
  <c r="AB116" i="5" a="1"/>
  <c r="AB116" i="5" s="1"/>
  <c r="AB60" i="5" a="1"/>
  <c r="AB60" i="5" s="1"/>
  <c r="AB26" i="5" a="1"/>
  <c r="AB26" i="5" s="1"/>
  <c r="AB89" i="5" a="1"/>
  <c r="AB89" i="5" s="1"/>
  <c r="AB80" i="5" a="1"/>
  <c r="AB80" i="5" s="1"/>
  <c r="AB48" i="5" a="1"/>
  <c r="AB48" i="5" s="1"/>
  <c r="AB85" i="5" a="1"/>
  <c r="AB85" i="5" s="1"/>
  <c r="AB32" i="5" a="1"/>
  <c r="AB32" i="5" s="1"/>
  <c r="AB102" i="5" a="1"/>
  <c r="AB102" i="5" s="1"/>
  <c r="AB95" i="5" a="1"/>
  <c r="AB95" i="5" s="1"/>
  <c r="AB120" i="5" a="1"/>
  <c r="AB120" i="5" s="1"/>
  <c r="AB103" i="5" a="1"/>
  <c r="AB103" i="5" s="1"/>
  <c r="AB53" i="5" a="1"/>
  <c r="AB53" i="5" s="1"/>
  <c r="AB113" i="5" a="1"/>
  <c r="AB113" i="5" s="1"/>
  <c r="AB30" i="5" a="1"/>
  <c r="AB30" i="5" s="1"/>
  <c r="AB86" i="5" a="1"/>
  <c r="AB86" i="5" s="1"/>
  <c r="AB71" i="5" a="1"/>
  <c r="AB71" i="5" s="1"/>
  <c r="AB77" i="5" a="1"/>
  <c r="AB77" i="5" s="1"/>
  <c r="AB61" i="5" a="1"/>
  <c r="AB61" i="5" s="1"/>
  <c r="AB115" i="5" a="1"/>
  <c r="AB115" i="5" s="1"/>
  <c r="AB47" i="5" a="1"/>
  <c r="AB47" i="5" s="1"/>
  <c r="AB117" i="5" a="1"/>
  <c r="AB117" i="5" s="1"/>
  <c r="AB88" i="5" a="1"/>
  <c r="AB88" i="5" s="1"/>
  <c r="AB35" i="5" a="1"/>
  <c r="AB35" i="5" s="1"/>
  <c r="AB108" i="5" a="1"/>
  <c r="AB108" i="5" s="1"/>
  <c r="AB64" i="5" a="1"/>
  <c r="AB64" i="5" s="1"/>
  <c r="AB29" i="5" a="1"/>
  <c r="AB29" i="5" s="1"/>
  <c r="AB99" i="5" a="1"/>
  <c r="AB99" i="5" s="1"/>
  <c r="AB112" i="5" a="1"/>
  <c r="AB112" i="5" s="1"/>
  <c r="AB54" i="5" a="1"/>
  <c r="AB54" i="5" s="1"/>
  <c r="AB41" i="5" a="1"/>
  <c r="AB41" i="5" s="1"/>
  <c r="AB84" i="5" a="1"/>
  <c r="AB84" i="5" s="1"/>
  <c r="AB109" i="5" a="1"/>
  <c r="AB109" i="5" s="1"/>
  <c r="AB63" i="5" a="1"/>
  <c r="AB63" i="5" s="1"/>
  <c r="AB51" i="5" a="1"/>
  <c r="AB51" i="5" s="1"/>
  <c r="AB91" i="5" a="1"/>
  <c r="AB91" i="5" s="1"/>
  <c r="AB98" i="5" a="1"/>
  <c r="AB98" i="5" s="1"/>
  <c r="AB92" i="5" a="1"/>
  <c r="AB92" i="5" s="1"/>
  <c r="AB33" i="5" a="1"/>
  <c r="AB33" i="5" s="1"/>
  <c r="AB57" i="5" a="1"/>
  <c r="AB57" i="5" s="1"/>
  <c r="AB124" i="5" a="1"/>
  <c r="AB124" i="5" s="1"/>
  <c r="AB101" i="5" a="1"/>
  <c r="AB101" i="5" s="1"/>
  <c r="AB111" i="5" a="1"/>
  <c r="AB111" i="5" s="1"/>
  <c r="AB55" i="5" a="1"/>
  <c r="AB55" i="5" s="1"/>
  <c r="AB40" i="5" a="1"/>
  <c r="AB40" i="5" s="1"/>
  <c r="AB49" i="5" a="1"/>
  <c r="AB49" i="5" s="1"/>
  <c r="AB93" i="5" a="1"/>
  <c r="AB93" i="5" s="1"/>
  <c r="AB73" i="5" a="1"/>
  <c r="AB73" i="5" s="1"/>
  <c r="AB25" i="5" a="1"/>
  <c r="AB25" i="5" s="1"/>
  <c r="AB107" i="5" a="1"/>
  <c r="AB107" i="5" s="1"/>
  <c r="AB27" i="5" a="1"/>
  <c r="AB27" i="5" s="1"/>
  <c r="AB87" i="5" a="1"/>
  <c r="AB87" i="5" s="1"/>
  <c r="AB34" i="5" a="1"/>
  <c r="AB34" i="5" s="1"/>
  <c r="AB36" i="5" a="1"/>
  <c r="AB36" i="5" s="1"/>
  <c r="AB110" i="5" a="1"/>
  <c r="AB110" i="5" s="1"/>
  <c r="AB114" i="5" a="1"/>
  <c r="AB114" i="5" s="1"/>
  <c r="AB62" i="5" a="1"/>
  <c r="AB62" i="5" s="1"/>
  <c r="AB81" i="5" a="1"/>
  <c r="AB81" i="5" s="1"/>
  <c r="AB78" i="5" a="1"/>
  <c r="AB78" i="5" s="1"/>
  <c r="AB76" i="5" a="1"/>
  <c r="AB76" i="5" s="1"/>
  <c r="AB58" i="5" a="1"/>
  <c r="AB58" i="5" s="1"/>
  <c r="AB66" i="5" a="1"/>
  <c r="AB66" i="5" s="1"/>
  <c r="AB94" i="5" a="1"/>
  <c r="AB94" i="5" s="1"/>
  <c r="AB69" i="5" a="1"/>
  <c r="AB69" i="5" s="1"/>
  <c r="AB75" i="5" a="1"/>
  <c r="AB75" i="5" s="1"/>
  <c r="AB56" i="5" a="1"/>
  <c r="AB56" i="5" s="1"/>
  <c r="AB83" i="5" a="1"/>
  <c r="AB83" i="5" s="1"/>
  <c r="AB79" i="5" a="1"/>
  <c r="AB79" i="5" s="1"/>
  <c r="AB44" i="5" a="1"/>
  <c r="AB44" i="5" s="1"/>
  <c r="AB70" i="5" a="1"/>
  <c r="AB70" i="5" s="1"/>
  <c r="AB104" i="5" a="1"/>
  <c r="AB104" i="5" s="1"/>
  <c r="AB21" i="5" l="1"/>
  <c r="AB23" i="5" l="1"/>
  <c r="AB22" i="5"/>
  <c r="AR72" i="5" l="1"/>
  <c r="BI72" i="5" s="1"/>
  <c r="AR97" i="5"/>
  <c r="BI97" i="5" s="1"/>
  <c r="AR42" i="5"/>
  <c r="BI42" i="5" s="1"/>
  <c r="AR50" i="5"/>
  <c r="BI50" i="5" s="1"/>
  <c r="AR89" i="5"/>
  <c r="BI89" i="5" s="1"/>
  <c r="AR103" i="5"/>
  <c r="BI103" i="5" s="1"/>
  <c r="AR115" i="5"/>
  <c r="BI115" i="5" s="1"/>
  <c r="AR99" i="5"/>
  <c r="BI99" i="5" s="1"/>
  <c r="AR91" i="5"/>
  <c r="BI91" i="5" s="1"/>
  <c r="AR55" i="5"/>
  <c r="BI55" i="5" s="1"/>
  <c r="AR87" i="5"/>
  <c r="BI87" i="5" s="1"/>
  <c r="AR76" i="5"/>
  <c r="BI76" i="5" s="1"/>
  <c r="AR79" i="5"/>
  <c r="BI79" i="5" s="1"/>
  <c r="AR100" i="5"/>
  <c r="BI100" i="5" s="1"/>
  <c r="AR106" i="5"/>
  <c r="BI106" i="5" s="1"/>
  <c r="AR74" i="5"/>
  <c r="BI74" i="5" s="1"/>
  <c r="AR37" i="5"/>
  <c r="BI37" i="5" s="1"/>
  <c r="AR80" i="5"/>
  <c r="BI80" i="5" s="1"/>
  <c r="AR53" i="5"/>
  <c r="BI53" i="5" s="1"/>
  <c r="AR47" i="5"/>
  <c r="BI47" i="5" s="1"/>
  <c r="AR112" i="5"/>
  <c r="BI112" i="5" s="1"/>
  <c r="AR98" i="5"/>
  <c r="BI98" i="5" s="1"/>
  <c r="AR40" i="5"/>
  <c r="BI40" i="5" s="1"/>
  <c r="AR34" i="5"/>
  <c r="BI34" i="5" s="1"/>
  <c r="AR58" i="5"/>
  <c r="BI58" i="5" s="1"/>
  <c r="AR44" i="5"/>
  <c r="BI44" i="5" s="1"/>
  <c r="AR82" i="5"/>
  <c r="BI82" i="5" s="1"/>
  <c r="AR123" i="5"/>
  <c r="BI123" i="5" s="1"/>
  <c r="AR96" i="5"/>
  <c r="BI96" i="5" s="1"/>
  <c r="AR39" i="5"/>
  <c r="BI39" i="5" s="1"/>
  <c r="AR48" i="5"/>
  <c r="BI48" i="5" s="1"/>
  <c r="AR113" i="5"/>
  <c r="BI113" i="5" s="1"/>
  <c r="AR117" i="5"/>
  <c r="BI117" i="5" s="1"/>
  <c r="AR54" i="5"/>
  <c r="BI54" i="5" s="1"/>
  <c r="AR92" i="5"/>
  <c r="BI92" i="5" s="1"/>
  <c r="AR49" i="5"/>
  <c r="BI49" i="5" s="1"/>
  <c r="AR36" i="5"/>
  <c r="BI36" i="5" s="1"/>
  <c r="AR66" i="5"/>
  <c r="BI66" i="5" s="1"/>
  <c r="AR70" i="5"/>
  <c r="BI70" i="5" s="1"/>
  <c r="AR118" i="5"/>
  <c r="BI118" i="5" s="1"/>
  <c r="AR46" i="5"/>
  <c r="BI46" i="5" s="1"/>
  <c r="AR31" i="5"/>
  <c r="BI31" i="5" s="1"/>
  <c r="AR43" i="5"/>
  <c r="BI43" i="5" s="1"/>
  <c r="AR85" i="5"/>
  <c r="BI85" i="5" s="1"/>
  <c r="AR30" i="5"/>
  <c r="BI30" i="5" s="1"/>
  <c r="AR88" i="5"/>
  <c r="BI88" i="5" s="1"/>
  <c r="AR41" i="5"/>
  <c r="BI41" i="5" s="1"/>
  <c r="AR33" i="5"/>
  <c r="BI33" i="5" s="1"/>
  <c r="AR93" i="5"/>
  <c r="BI93" i="5" s="1"/>
  <c r="AR110" i="5"/>
  <c r="BI110" i="5" s="1"/>
  <c r="AR94" i="5"/>
  <c r="BI94" i="5" s="1"/>
  <c r="AR104" i="5"/>
  <c r="BI104" i="5" s="1"/>
  <c r="AR83" i="5"/>
  <c r="BI83" i="5" s="1"/>
  <c r="AR65" i="5"/>
  <c r="BI65" i="5" s="1"/>
  <c r="AR90" i="5"/>
  <c r="BI90" i="5" s="1"/>
  <c r="AR52" i="5"/>
  <c r="BI52" i="5" s="1"/>
  <c r="AR122" i="5"/>
  <c r="BI122" i="5" s="1"/>
  <c r="AR32" i="5"/>
  <c r="BI32" i="5" s="1"/>
  <c r="AR86" i="5"/>
  <c r="BI86" i="5" s="1"/>
  <c r="AR35" i="5"/>
  <c r="BI35" i="5" s="1"/>
  <c r="AR84" i="5"/>
  <c r="BI84" i="5" s="1"/>
  <c r="AR57" i="5"/>
  <c r="BI57" i="5" s="1"/>
  <c r="AR73" i="5"/>
  <c r="BI73" i="5" s="1"/>
  <c r="AR114" i="5"/>
  <c r="BI114" i="5" s="1"/>
  <c r="AR69" i="5"/>
  <c r="BI69" i="5" s="1"/>
  <c r="AR121" i="5"/>
  <c r="BI121" i="5" s="1"/>
  <c r="AR67" i="5"/>
  <c r="BI67" i="5" s="1"/>
  <c r="AR105" i="5"/>
  <c r="BI105" i="5" s="1"/>
  <c r="AR26" i="5"/>
  <c r="BI26" i="5" s="1"/>
  <c r="AR120" i="5"/>
  <c r="BI120" i="5" s="1"/>
  <c r="AR61" i="5"/>
  <c r="BI61" i="5" s="1"/>
  <c r="AR29" i="5"/>
  <c r="BI29" i="5" s="1"/>
  <c r="AR51" i="5"/>
  <c r="BI51" i="5" s="1"/>
  <c r="AR111" i="5"/>
  <c r="BI111" i="5" s="1"/>
  <c r="AR27" i="5"/>
  <c r="BI27" i="5" s="1"/>
  <c r="AR78" i="5"/>
  <c r="BI78" i="5" s="1"/>
  <c r="AR28" i="5"/>
  <c r="BI28" i="5" s="1"/>
  <c r="AR38" i="5"/>
  <c r="BI38" i="5" s="1"/>
  <c r="AR68" i="5"/>
  <c r="BI68" i="5" s="1"/>
  <c r="AR116" i="5"/>
  <c r="BI116" i="5" s="1"/>
  <c r="AR102" i="5"/>
  <c r="BI102" i="5" s="1"/>
  <c r="AR71" i="5"/>
  <c r="BI71" i="5" s="1"/>
  <c r="AR108" i="5"/>
  <c r="BI108" i="5" s="1"/>
  <c r="AR109" i="5"/>
  <c r="BI109" i="5" s="1"/>
  <c r="AR124" i="5"/>
  <c r="BI124" i="5" s="1"/>
  <c r="AR25" i="5"/>
  <c r="BI25" i="5" s="1"/>
  <c r="AR62" i="5"/>
  <c r="BI62" i="5" s="1"/>
  <c r="AR75" i="5"/>
  <c r="BI75" i="5" s="1"/>
  <c r="AR45" i="5"/>
  <c r="BI45" i="5" s="1"/>
  <c r="AR59" i="5"/>
  <c r="BI59" i="5" s="1"/>
  <c r="AR119" i="5"/>
  <c r="BI119" i="5" s="1"/>
  <c r="AR60" i="5"/>
  <c r="BI60" i="5" s="1"/>
  <c r="AR95" i="5"/>
  <c r="BI95" i="5" s="1"/>
  <c r="AR77" i="5"/>
  <c r="BI77" i="5" s="1"/>
  <c r="AR64" i="5"/>
  <c r="BI64" i="5" s="1"/>
  <c r="AR63" i="5"/>
  <c r="BI63" i="5" s="1"/>
  <c r="AR101" i="5"/>
  <c r="BI101" i="5" s="1"/>
  <c r="AR107" i="5"/>
  <c r="BI107" i="5" s="1"/>
  <c r="AR81" i="5"/>
  <c r="BI81" i="5" s="1"/>
  <c r="AR56" i="5"/>
  <c r="BI56" i="5" s="1"/>
  <c r="AC33" i="5" l="1" a="1"/>
  <c r="AC33" i="5" s="1"/>
  <c r="AC73" i="5" a="1"/>
  <c r="AC73" i="5" s="1"/>
  <c r="AC77" i="5" a="1"/>
  <c r="AC77" i="5" s="1"/>
  <c r="AC28" i="5" a="1"/>
  <c r="AC28" i="5" s="1"/>
  <c r="AC79" i="5" a="1"/>
  <c r="AC79" i="5" s="1"/>
  <c r="AC60" i="5" a="1"/>
  <c r="AC60" i="5" s="1"/>
  <c r="AC78" i="5" a="1"/>
  <c r="AC78" i="5" s="1"/>
  <c r="AC35" i="5" a="1"/>
  <c r="AC35" i="5" s="1"/>
  <c r="AC85" i="5" a="1"/>
  <c r="AC85" i="5" s="1"/>
  <c r="AC123" i="5" a="1"/>
  <c r="AC123" i="5" s="1"/>
  <c r="AC76" i="5" a="1"/>
  <c r="AC76" i="5" s="1"/>
  <c r="AC114" i="5" a="1"/>
  <c r="AC114" i="5" s="1"/>
  <c r="AC64" i="5" a="1"/>
  <c r="AC64" i="5" s="1"/>
  <c r="AC100" i="5" a="1"/>
  <c r="AC100" i="5" s="1"/>
  <c r="AC119" i="5" a="1"/>
  <c r="AC119" i="5" s="1"/>
  <c r="AC27" i="5" a="1"/>
  <c r="AC27" i="5" s="1"/>
  <c r="AC86" i="5" a="1"/>
  <c r="AC86" i="5" s="1"/>
  <c r="AC43" i="5" a="1"/>
  <c r="AC43" i="5" s="1"/>
  <c r="AC82" i="5" a="1"/>
  <c r="AC82" i="5" s="1"/>
  <c r="AC87" i="5" a="1"/>
  <c r="AC87" i="5" s="1"/>
  <c r="AC59" i="5" a="1"/>
  <c r="AC59" i="5" s="1"/>
  <c r="AC55" i="5" a="1"/>
  <c r="AC55" i="5" s="1"/>
  <c r="AC74" i="5" a="1"/>
  <c r="AC74" i="5" s="1"/>
  <c r="AC91" i="5" a="1"/>
  <c r="AC91" i="5" s="1"/>
  <c r="AC99" i="5" a="1"/>
  <c r="AC99" i="5" s="1"/>
  <c r="AC39" i="5" a="1"/>
  <c r="AC39" i="5" s="1"/>
  <c r="AC115" i="5" a="1"/>
  <c r="AC115" i="5" s="1"/>
  <c r="AC88" i="5" a="1"/>
  <c r="AC88" i="5" s="1"/>
  <c r="AC103" i="5" a="1"/>
  <c r="AC103" i="5" s="1"/>
  <c r="AC113" i="5" a="1"/>
  <c r="AC113" i="5" s="1"/>
  <c r="AC41" i="5" a="1"/>
  <c r="AC41" i="5" s="1"/>
  <c r="AC57" i="5" a="1"/>
  <c r="AC57" i="5" s="1"/>
  <c r="AC96" i="5" a="1"/>
  <c r="AC96" i="5" s="1"/>
  <c r="AC44" i="5" a="1"/>
  <c r="AC44" i="5" s="1"/>
  <c r="AC58" i="5" a="1"/>
  <c r="AC58" i="5" s="1"/>
  <c r="AC118" i="5" a="1"/>
  <c r="AC118" i="5" s="1"/>
  <c r="AC40" i="5" a="1"/>
  <c r="AC40" i="5" s="1"/>
  <c r="AC66" i="5" a="1"/>
  <c r="AC66" i="5" s="1"/>
  <c r="AC26" i="5" a="1"/>
  <c r="AC26" i="5" s="1"/>
  <c r="AC89" i="5" a="1"/>
  <c r="AC89" i="5" s="1"/>
  <c r="AC56" i="5" a="1"/>
  <c r="AC56" i="5" s="1"/>
  <c r="AC109" i="5" a="1"/>
  <c r="AC109" i="5" s="1"/>
  <c r="AC105" i="5" a="1"/>
  <c r="AC105" i="5" s="1"/>
  <c r="AC104" i="5" a="1"/>
  <c r="AC104" i="5" s="1"/>
  <c r="AC49" i="5" a="1"/>
  <c r="AC49" i="5" s="1"/>
  <c r="AC47" i="5" a="1"/>
  <c r="AC47" i="5" s="1"/>
  <c r="AC50" i="5" a="1"/>
  <c r="AC50" i="5" s="1"/>
  <c r="AC68" i="5" a="1"/>
  <c r="AC68" i="5" s="1"/>
  <c r="AC95" i="5" a="1"/>
  <c r="AC95" i="5" s="1"/>
  <c r="AC111" i="5" a="1"/>
  <c r="AC111" i="5" s="1"/>
  <c r="AC51" i="5" a="1"/>
  <c r="AC51" i="5" s="1"/>
  <c r="AC29" i="5" a="1"/>
  <c r="AC29" i="5" s="1"/>
  <c r="AC61" i="5" a="1"/>
  <c r="AC61" i="5" s="1"/>
  <c r="AC120" i="5" a="1"/>
  <c r="AC120" i="5" s="1"/>
  <c r="AC81" i="5" a="1"/>
  <c r="AC81" i="5" s="1"/>
  <c r="AC108" i="5" a="1"/>
  <c r="AC108" i="5" s="1"/>
  <c r="AC67" i="5" a="1"/>
  <c r="AC67" i="5" s="1"/>
  <c r="AC94" i="5" a="1"/>
  <c r="AC94" i="5" s="1"/>
  <c r="AC92" i="5" a="1"/>
  <c r="AC92" i="5" s="1"/>
  <c r="AC53" i="5" a="1"/>
  <c r="AC53" i="5" s="1"/>
  <c r="AC42" i="5" a="1"/>
  <c r="AC42" i="5" s="1"/>
  <c r="AC106" i="5" a="1"/>
  <c r="AC106" i="5" s="1"/>
  <c r="AC84" i="5" a="1"/>
  <c r="AC84" i="5" s="1"/>
  <c r="AC32" i="5" a="1"/>
  <c r="AC32" i="5" s="1"/>
  <c r="AC122" i="5" a="1"/>
  <c r="AC122" i="5" s="1"/>
  <c r="AC52" i="5" a="1"/>
  <c r="AC52" i="5" s="1"/>
  <c r="AC90" i="5" a="1"/>
  <c r="AC90" i="5" s="1"/>
  <c r="AC65" i="5" a="1"/>
  <c r="AC65" i="5" s="1"/>
  <c r="AC124" i="5" a="1"/>
  <c r="AC124" i="5" s="1"/>
  <c r="AC112" i="5" a="1"/>
  <c r="AC112" i="5" s="1"/>
  <c r="AC107" i="5" a="1"/>
  <c r="AC107" i="5" s="1"/>
  <c r="AC71" i="5" a="1"/>
  <c r="AC71" i="5" s="1"/>
  <c r="AC121" i="5" a="1"/>
  <c r="AC121" i="5" s="1"/>
  <c r="AC110" i="5" a="1"/>
  <c r="AC110" i="5" s="1"/>
  <c r="AC54" i="5" a="1"/>
  <c r="AC54" i="5" s="1"/>
  <c r="AC80" i="5" a="1"/>
  <c r="AC80" i="5" s="1"/>
  <c r="AC97" i="5" a="1"/>
  <c r="AC97" i="5" s="1"/>
  <c r="AC63" i="5" a="1"/>
  <c r="AC63" i="5" s="1"/>
  <c r="AC116" i="5" a="1"/>
  <c r="AC116" i="5" s="1"/>
  <c r="AC48" i="5" a="1"/>
  <c r="AC48" i="5" s="1"/>
  <c r="AC38" i="5" a="1"/>
  <c r="AC38" i="5" s="1"/>
  <c r="AC30" i="5" a="1"/>
  <c r="AC30" i="5" s="1"/>
  <c r="AC31" i="5" a="1"/>
  <c r="AC31" i="5" s="1"/>
  <c r="AC45" i="5" a="1"/>
  <c r="AC45" i="5" s="1"/>
  <c r="AC46" i="5" a="1"/>
  <c r="AC46" i="5" s="1"/>
  <c r="AC75" i="5" a="1"/>
  <c r="AC75" i="5" s="1"/>
  <c r="AC34" i="5" a="1"/>
  <c r="AC34" i="5" s="1"/>
  <c r="AC62" i="5" a="1"/>
  <c r="AC62" i="5" s="1"/>
  <c r="AC70" i="5" a="1"/>
  <c r="AC70" i="5" s="1"/>
  <c r="AC25" i="5" a="1"/>
  <c r="AC25" i="5" s="1"/>
  <c r="AC98" i="5" a="1"/>
  <c r="AC98" i="5" s="1"/>
  <c r="AC83" i="5" a="1"/>
  <c r="AC83" i="5" s="1"/>
  <c r="AC36" i="5" a="1"/>
  <c r="AC36" i="5" s="1"/>
  <c r="AC101" i="5" a="1"/>
  <c r="AC101" i="5" s="1"/>
  <c r="AC102" i="5" a="1"/>
  <c r="AC102" i="5" s="1"/>
  <c r="AC69" i="5" a="1"/>
  <c r="AC69" i="5" s="1"/>
  <c r="AC93" i="5" a="1"/>
  <c r="AC93" i="5" s="1"/>
  <c r="AC117" i="5" a="1"/>
  <c r="AC117" i="5" s="1"/>
  <c r="AC37" i="5" a="1"/>
  <c r="AC37" i="5" s="1"/>
  <c r="AC72" i="5" a="1"/>
  <c r="AC72" i="5" s="1"/>
  <c r="AC21" i="5" l="1"/>
  <c r="AC23" i="5" l="1"/>
  <c r="AC22" i="5"/>
  <c r="AS33" i="5" l="1"/>
  <c r="BJ33" i="5" s="1"/>
  <c r="AS85" i="5"/>
  <c r="BJ85" i="5" s="1"/>
  <c r="AS86" i="5"/>
  <c r="BJ86" i="5" s="1"/>
  <c r="AS99" i="5"/>
  <c r="BJ99" i="5" s="1"/>
  <c r="AS96" i="5"/>
  <c r="BJ96" i="5" s="1"/>
  <c r="AS56" i="5"/>
  <c r="BJ56" i="5" s="1"/>
  <c r="AS95" i="5"/>
  <c r="BJ95" i="5" s="1"/>
  <c r="AS67" i="5"/>
  <c r="BJ67" i="5" s="1"/>
  <c r="AS122" i="5"/>
  <c r="BJ122" i="5" s="1"/>
  <c r="AS121" i="5"/>
  <c r="BJ121" i="5" s="1"/>
  <c r="AS38" i="5"/>
  <c r="BJ38" i="5" s="1"/>
  <c r="AS70" i="5"/>
  <c r="BJ70" i="5" s="1"/>
  <c r="AS93" i="5"/>
  <c r="BJ93" i="5" s="1"/>
  <c r="AS73" i="5"/>
  <c r="BJ73" i="5" s="1"/>
  <c r="AS123" i="5"/>
  <c r="BJ123" i="5" s="1"/>
  <c r="AS43" i="5"/>
  <c r="BJ43" i="5" s="1"/>
  <c r="AS39" i="5"/>
  <c r="BJ39" i="5" s="1"/>
  <c r="AS44" i="5"/>
  <c r="BJ44" i="5" s="1"/>
  <c r="AS109" i="5"/>
  <c r="BJ109" i="5" s="1"/>
  <c r="AS111" i="5"/>
  <c r="BJ111" i="5" s="1"/>
  <c r="AS94" i="5"/>
  <c r="BJ94" i="5" s="1"/>
  <c r="AS52" i="5"/>
  <c r="BJ52" i="5" s="1"/>
  <c r="AS110" i="5"/>
  <c r="BJ110" i="5" s="1"/>
  <c r="AS30" i="5"/>
  <c r="BJ30" i="5" s="1"/>
  <c r="AS25" i="5"/>
  <c r="BJ25" i="5" s="1"/>
  <c r="AS117" i="5"/>
  <c r="BJ117" i="5" s="1"/>
  <c r="AS35" i="5"/>
  <c r="BJ35" i="5" s="1"/>
  <c r="AS27" i="5"/>
  <c r="BJ27" i="5" s="1"/>
  <c r="AS91" i="5"/>
  <c r="BJ91" i="5" s="1"/>
  <c r="AS57" i="5"/>
  <c r="BJ57" i="5" s="1"/>
  <c r="AS89" i="5"/>
  <c r="BJ89" i="5" s="1"/>
  <c r="AS68" i="5"/>
  <c r="BJ68" i="5" s="1"/>
  <c r="AS108" i="5"/>
  <c r="BJ108" i="5" s="1"/>
  <c r="AS32" i="5"/>
  <c r="BJ32" i="5" s="1"/>
  <c r="AS71" i="5"/>
  <c r="BJ71" i="5" s="1"/>
  <c r="AS48" i="5"/>
  <c r="BJ48" i="5" s="1"/>
  <c r="AS62" i="5"/>
  <c r="BJ62" i="5" s="1"/>
  <c r="AS77" i="5"/>
  <c r="BJ77" i="5" s="1"/>
  <c r="AS76" i="5"/>
  <c r="BJ76" i="5" s="1"/>
  <c r="AS82" i="5"/>
  <c r="BJ82" i="5" s="1"/>
  <c r="AS115" i="5"/>
  <c r="BJ115" i="5" s="1"/>
  <c r="AS58" i="5"/>
  <c r="BJ58" i="5" s="1"/>
  <c r="AS105" i="5"/>
  <c r="BJ105" i="5" s="1"/>
  <c r="AS51" i="5"/>
  <c r="BJ51" i="5" s="1"/>
  <c r="AS92" i="5"/>
  <c r="BJ92" i="5" s="1"/>
  <c r="AS90" i="5"/>
  <c r="BJ90" i="5" s="1"/>
  <c r="AS54" i="5"/>
  <c r="BJ54" i="5" s="1"/>
  <c r="AS31" i="5"/>
  <c r="BJ31" i="5" s="1"/>
  <c r="AS98" i="5"/>
  <c r="BJ98" i="5" s="1"/>
  <c r="AS37" i="5"/>
  <c r="BJ37" i="5" s="1"/>
  <c r="AS28" i="5"/>
  <c r="BJ28" i="5" s="1"/>
  <c r="AS114" i="5"/>
  <c r="BJ114" i="5" s="1"/>
  <c r="AS87" i="5"/>
  <c r="BJ87" i="5" s="1"/>
  <c r="AS88" i="5"/>
  <c r="BJ88" i="5" s="1"/>
  <c r="AS118" i="5"/>
  <c r="BJ118" i="5" s="1"/>
  <c r="AS104" i="5"/>
  <c r="BJ104" i="5" s="1"/>
  <c r="AS29" i="5"/>
  <c r="BJ29" i="5" s="1"/>
  <c r="AS53" i="5"/>
  <c r="BJ53" i="5" s="1"/>
  <c r="AS65" i="5"/>
  <c r="BJ65" i="5" s="1"/>
  <c r="AS80" i="5"/>
  <c r="BJ80" i="5" s="1"/>
  <c r="AS45" i="5"/>
  <c r="BJ45" i="5" s="1"/>
  <c r="AS83" i="5"/>
  <c r="BJ83" i="5" s="1"/>
  <c r="AS72" i="5"/>
  <c r="BJ72" i="5" s="1"/>
  <c r="AS79" i="5"/>
  <c r="BJ79" i="5" s="1"/>
  <c r="AS64" i="5"/>
  <c r="BJ64" i="5" s="1"/>
  <c r="AS59" i="5"/>
  <c r="BJ59" i="5" s="1"/>
  <c r="AS103" i="5"/>
  <c r="BJ103" i="5" s="1"/>
  <c r="AS40" i="5"/>
  <c r="BJ40" i="5" s="1"/>
  <c r="AS49" i="5"/>
  <c r="BJ49" i="5" s="1"/>
  <c r="AS61" i="5"/>
  <c r="BJ61" i="5" s="1"/>
  <c r="AS42" i="5"/>
  <c r="BJ42" i="5" s="1"/>
  <c r="AS124" i="5"/>
  <c r="BJ124" i="5" s="1"/>
  <c r="AS97" i="5"/>
  <c r="BJ97" i="5" s="1"/>
  <c r="AS46" i="5"/>
  <c r="BJ46" i="5" s="1"/>
  <c r="AS36" i="5"/>
  <c r="BJ36" i="5" s="1"/>
  <c r="AS60" i="5"/>
  <c r="BJ60" i="5" s="1"/>
  <c r="AS100" i="5"/>
  <c r="BJ100" i="5" s="1"/>
  <c r="AS55" i="5"/>
  <c r="BJ55" i="5" s="1"/>
  <c r="AS113" i="5"/>
  <c r="BJ113" i="5" s="1"/>
  <c r="AS66" i="5"/>
  <c r="BJ66" i="5" s="1"/>
  <c r="AS47" i="5"/>
  <c r="BJ47" i="5" s="1"/>
  <c r="AS120" i="5"/>
  <c r="BJ120" i="5" s="1"/>
  <c r="AS106" i="5"/>
  <c r="BJ106" i="5" s="1"/>
  <c r="AS112" i="5"/>
  <c r="BJ112" i="5" s="1"/>
  <c r="AS63" i="5"/>
  <c r="BJ63" i="5" s="1"/>
  <c r="AS75" i="5"/>
  <c r="BJ75" i="5" s="1"/>
  <c r="AS101" i="5"/>
  <c r="BJ101" i="5" s="1"/>
  <c r="AS69" i="5"/>
  <c r="BJ69" i="5" s="1"/>
  <c r="AS78" i="5"/>
  <c r="BJ78" i="5" s="1"/>
  <c r="AS119" i="5"/>
  <c r="BJ119" i="5" s="1"/>
  <c r="AS74" i="5"/>
  <c r="BJ74" i="5" s="1"/>
  <c r="AS41" i="5"/>
  <c r="BJ41" i="5" s="1"/>
  <c r="AS26" i="5"/>
  <c r="BJ26" i="5" s="1"/>
  <c r="AS50" i="5"/>
  <c r="BJ50" i="5" s="1"/>
  <c r="AS81" i="5"/>
  <c r="BJ81" i="5" s="1"/>
  <c r="AS84" i="5"/>
  <c r="BJ84" i="5" s="1"/>
  <c r="AS107" i="5"/>
  <c r="BJ107" i="5" s="1"/>
  <c r="AS116" i="5"/>
  <c r="BJ116" i="5" s="1"/>
  <c r="AS34" i="5"/>
  <c r="BJ34" i="5" s="1"/>
  <c r="AS102" i="5"/>
  <c r="BJ102" i="5" s="1"/>
  <c r="AD54" i="5" l="1" a="1"/>
  <c r="AD54" i="5" s="1"/>
  <c r="AD83" i="5" a="1"/>
  <c r="AD83" i="5" s="1"/>
  <c r="AD100" i="5" a="1"/>
  <c r="AD100" i="5" s="1"/>
  <c r="AD45" i="5" a="1"/>
  <c r="AD45" i="5" s="1"/>
  <c r="AD92" i="5" a="1"/>
  <c r="AD92" i="5" s="1"/>
  <c r="AD91" i="5" a="1"/>
  <c r="AD91" i="5" s="1"/>
  <c r="AD93" i="5" a="1"/>
  <c r="AD93" i="5" s="1"/>
  <c r="AD41" i="5" a="1"/>
  <c r="AD41" i="5" s="1"/>
  <c r="AD60" i="5" a="1"/>
  <c r="AD60" i="5" s="1"/>
  <c r="AD80" i="5" a="1"/>
  <c r="AD80" i="5" s="1"/>
  <c r="AD51" i="5" a="1"/>
  <c r="AD51" i="5" s="1"/>
  <c r="AD27" i="5" a="1"/>
  <c r="AD27" i="5" s="1"/>
  <c r="AD70" i="5" a="1"/>
  <c r="AD70" i="5" s="1"/>
  <c r="AD66" i="5" a="1"/>
  <c r="AD66" i="5" s="1"/>
  <c r="AD113" i="5" a="1"/>
  <c r="AD113" i="5" s="1"/>
  <c r="AD57" i="5" a="1"/>
  <c r="AD57" i="5" s="1"/>
  <c r="AD26" i="5" a="1"/>
  <c r="AD26" i="5" s="1"/>
  <c r="AD74" i="5" a="1"/>
  <c r="AD74" i="5" s="1"/>
  <c r="AD36" i="5" a="1"/>
  <c r="AD36" i="5" s="1"/>
  <c r="AD65" i="5" a="1"/>
  <c r="AD65" i="5" s="1"/>
  <c r="AD105" i="5" a="1"/>
  <c r="AD105" i="5" s="1"/>
  <c r="AD35" i="5" a="1"/>
  <c r="AD35" i="5" s="1"/>
  <c r="AD38" i="5" a="1"/>
  <c r="AD38" i="5" s="1"/>
  <c r="AD58" i="5" a="1"/>
  <c r="AD58" i="5" s="1"/>
  <c r="AD117" i="5" a="1"/>
  <c r="AD117" i="5" s="1"/>
  <c r="AD121" i="5" a="1"/>
  <c r="AD121" i="5" s="1"/>
  <c r="AD25" i="5" a="1"/>
  <c r="AD25" i="5" s="1"/>
  <c r="AD122" i="5" a="1"/>
  <c r="AD122" i="5" s="1"/>
  <c r="AD79" i="5" a="1"/>
  <c r="AD79" i="5" s="1"/>
  <c r="AD69" i="5" a="1"/>
  <c r="AD69" i="5" s="1"/>
  <c r="AD30" i="5" a="1"/>
  <c r="AD30" i="5" s="1"/>
  <c r="AD67" i="5" a="1"/>
  <c r="AD67" i="5" s="1"/>
  <c r="AD84" i="5" a="1"/>
  <c r="AD84" i="5" s="1"/>
  <c r="AD110" i="5" a="1"/>
  <c r="AD110" i="5" s="1"/>
  <c r="AD95" i="5" a="1"/>
  <c r="AD95" i="5" s="1"/>
  <c r="AD81" i="5" a="1"/>
  <c r="AD81" i="5" s="1"/>
  <c r="AD52" i="5" a="1"/>
  <c r="AD52" i="5" s="1"/>
  <c r="AD56" i="5" a="1"/>
  <c r="AD56" i="5" s="1"/>
  <c r="AD89" i="5" a="1"/>
  <c r="AD89" i="5" s="1"/>
  <c r="AD96" i="5" a="1"/>
  <c r="AD96" i="5" s="1"/>
  <c r="AD43" i="5" a="1"/>
  <c r="AD43" i="5" s="1"/>
  <c r="AD72" i="5" a="1"/>
  <c r="AD72" i="5" s="1"/>
  <c r="AD73" i="5" a="1"/>
  <c r="AD73" i="5" s="1"/>
  <c r="AD53" i="5" a="1"/>
  <c r="AD53" i="5" s="1"/>
  <c r="AD29" i="5" a="1"/>
  <c r="AD29" i="5" s="1"/>
  <c r="AD104" i="5" a="1"/>
  <c r="AD104" i="5" s="1"/>
  <c r="AD118" i="5" a="1"/>
  <c r="AD118" i="5" s="1"/>
  <c r="AD77" i="5" a="1"/>
  <c r="AD77" i="5" s="1"/>
  <c r="AD63" i="5" a="1"/>
  <c r="AD63" i="5" s="1"/>
  <c r="AD102" i="5" a="1"/>
  <c r="AD102" i="5" s="1"/>
  <c r="AD112" i="5" a="1"/>
  <c r="AD112" i="5" s="1"/>
  <c r="AD40" i="5" a="1"/>
  <c r="AD40" i="5" s="1"/>
  <c r="AD114" i="5" a="1"/>
  <c r="AD114" i="5" s="1"/>
  <c r="AD48" i="5" a="1"/>
  <c r="AD48" i="5" s="1"/>
  <c r="AD111" i="5" a="1"/>
  <c r="AD111" i="5" s="1"/>
  <c r="AD99" i="5" a="1"/>
  <c r="AD99" i="5" s="1"/>
  <c r="AD31" i="5" a="1"/>
  <c r="AD31" i="5" s="1"/>
  <c r="AD90" i="5" a="1"/>
  <c r="AD90" i="5" s="1"/>
  <c r="AD119" i="5" a="1"/>
  <c r="AD119" i="5" s="1"/>
  <c r="AD97" i="5" a="1"/>
  <c r="AD97" i="5" s="1"/>
  <c r="AD124" i="5" a="1"/>
  <c r="AD124" i="5" s="1"/>
  <c r="AD42" i="5" a="1"/>
  <c r="AD42" i="5" s="1"/>
  <c r="AD61" i="5" a="1"/>
  <c r="AD61" i="5" s="1"/>
  <c r="AD94" i="5" a="1"/>
  <c r="AD94" i="5" s="1"/>
  <c r="AD34" i="5" a="1"/>
  <c r="AD34" i="5" s="1"/>
  <c r="AD106" i="5" a="1"/>
  <c r="AD106" i="5" s="1"/>
  <c r="AD103" i="5" a="1"/>
  <c r="AD103" i="5" s="1"/>
  <c r="AD28" i="5" a="1"/>
  <c r="AD28" i="5" s="1"/>
  <c r="AD71" i="5" a="1"/>
  <c r="AD71" i="5" s="1"/>
  <c r="AD109" i="5" a="1"/>
  <c r="AD109" i="5" s="1"/>
  <c r="AD86" i="5" a="1"/>
  <c r="AD86" i="5" s="1"/>
  <c r="AD123" i="5" a="1"/>
  <c r="AD123" i="5" s="1"/>
  <c r="AD50" i="5" a="1"/>
  <c r="AD50" i="5" s="1"/>
  <c r="AD46" i="5" a="1"/>
  <c r="AD46" i="5" s="1"/>
  <c r="AD115" i="5" a="1"/>
  <c r="AD115" i="5" s="1"/>
  <c r="AD82" i="5" a="1"/>
  <c r="AD82" i="5" s="1"/>
  <c r="AD76" i="5" a="1"/>
  <c r="AD76" i="5" s="1"/>
  <c r="AD88" i="5" a="1"/>
  <c r="AD88" i="5" s="1"/>
  <c r="AD49" i="5" a="1"/>
  <c r="AD49" i="5" s="1"/>
  <c r="AD62" i="5" a="1"/>
  <c r="AD62" i="5" s="1"/>
  <c r="AD116" i="5" a="1"/>
  <c r="AD116" i="5" s="1"/>
  <c r="AD120" i="5" a="1"/>
  <c r="AD120" i="5" s="1"/>
  <c r="AD59" i="5" a="1"/>
  <c r="AD59" i="5" s="1"/>
  <c r="AD37" i="5" a="1"/>
  <c r="AD37" i="5" s="1"/>
  <c r="AD32" i="5" a="1"/>
  <c r="AD32" i="5" s="1"/>
  <c r="AD44" i="5" a="1"/>
  <c r="AD44" i="5" s="1"/>
  <c r="AD85" i="5" a="1"/>
  <c r="AD85" i="5" s="1"/>
  <c r="AD68" i="5" a="1"/>
  <c r="AD68" i="5" s="1"/>
  <c r="AD55" i="5" a="1"/>
  <c r="AD55" i="5" s="1"/>
  <c r="AD78" i="5" a="1"/>
  <c r="AD78" i="5" s="1"/>
  <c r="AD101" i="5" a="1"/>
  <c r="AD101" i="5" s="1"/>
  <c r="AD75" i="5" a="1"/>
  <c r="AD75" i="5" s="1"/>
  <c r="AD87" i="5" a="1"/>
  <c r="AD87" i="5" s="1"/>
  <c r="AD107" i="5" a="1"/>
  <c r="AD107" i="5" s="1"/>
  <c r="AD47" i="5" a="1"/>
  <c r="AD47" i="5" s="1"/>
  <c r="AD64" i="5" a="1"/>
  <c r="AD64" i="5" s="1"/>
  <c r="AD98" i="5" a="1"/>
  <c r="AD98" i="5" s="1"/>
  <c r="AD108" i="5" a="1"/>
  <c r="AD108" i="5" s="1"/>
  <c r="AD39" i="5" a="1"/>
  <c r="AD39" i="5" s="1"/>
  <c r="AD33" i="5" a="1"/>
  <c r="AD33" i="5" s="1"/>
  <c r="AD21" i="5" l="1"/>
  <c r="AD23" i="5" l="1"/>
  <c r="AD22" i="5"/>
  <c r="AT54" i="5" l="1"/>
  <c r="BK54" i="5" s="1"/>
  <c r="AT60" i="5"/>
  <c r="BK60" i="5" s="1"/>
  <c r="AT26" i="5"/>
  <c r="BK26" i="5" s="1"/>
  <c r="AT117" i="5"/>
  <c r="BK117" i="5" s="1"/>
  <c r="AT84" i="5"/>
  <c r="BK84" i="5" s="1"/>
  <c r="AT43" i="5"/>
  <c r="BK43" i="5" s="1"/>
  <c r="AT63" i="5"/>
  <c r="BK63" i="5" s="1"/>
  <c r="AT31" i="5"/>
  <c r="BK31" i="5" s="1"/>
  <c r="AT34" i="5"/>
  <c r="BK34" i="5" s="1"/>
  <c r="AT50" i="5"/>
  <c r="BK50" i="5" s="1"/>
  <c r="AT116" i="5"/>
  <c r="BK116" i="5" s="1"/>
  <c r="AT55" i="5"/>
  <c r="BK55" i="5" s="1"/>
  <c r="AT98" i="5"/>
  <c r="BK98" i="5" s="1"/>
  <c r="AT83" i="5"/>
  <c r="BK83" i="5" s="1"/>
  <c r="AT80" i="5"/>
  <c r="BK80" i="5" s="1"/>
  <c r="AT74" i="5"/>
  <c r="BK74" i="5" s="1"/>
  <c r="AT121" i="5"/>
  <c r="BK121" i="5" s="1"/>
  <c r="AT110" i="5"/>
  <c r="BK110" i="5" s="1"/>
  <c r="AT72" i="5"/>
  <c r="BK72" i="5" s="1"/>
  <c r="AT102" i="5"/>
  <c r="BK102" i="5" s="1"/>
  <c r="AT90" i="5"/>
  <c r="BK90" i="5" s="1"/>
  <c r="AT106" i="5"/>
  <c r="BK106" i="5" s="1"/>
  <c r="AT46" i="5"/>
  <c r="BK46" i="5" s="1"/>
  <c r="AT120" i="5"/>
  <c r="BK120" i="5" s="1"/>
  <c r="AT78" i="5"/>
  <c r="BK78" i="5" s="1"/>
  <c r="AT108" i="5"/>
  <c r="BK108" i="5" s="1"/>
  <c r="AT100" i="5"/>
  <c r="BK100" i="5" s="1"/>
  <c r="AT51" i="5"/>
  <c r="BK51" i="5" s="1"/>
  <c r="AT36" i="5"/>
  <c r="BK36" i="5" s="1"/>
  <c r="AT25" i="5"/>
  <c r="BK25" i="5" s="1"/>
  <c r="AT95" i="5"/>
  <c r="BK95" i="5" s="1"/>
  <c r="AT73" i="5"/>
  <c r="BK73" i="5" s="1"/>
  <c r="AT112" i="5"/>
  <c r="BK112" i="5" s="1"/>
  <c r="AT119" i="5"/>
  <c r="BK119" i="5" s="1"/>
  <c r="AT103" i="5"/>
  <c r="BK103" i="5" s="1"/>
  <c r="AT115" i="5"/>
  <c r="BK115" i="5" s="1"/>
  <c r="AT59" i="5"/>
  <c r="BK59" i="5" s="1"/>
  <c r="AT101" i="5"/>
  <c r="BK101" i="5" s="1"/>
  <c r="AT39" i="5"/>
  <c r="BK39" i="5" s="1"/>
  <c r="AT45" i="5"/>
  <c r="BK45" i="5" s="1"/>
  <c r="AT27" i="5"/>
  <c r="BK27" i="5" s="1"/>
  <c r="AT65" i="5"/>
  <c r="BK65" i="5" s="1"/>
  <c r="AT122" i="5"/>
  <c r="BK122" i="5" s="1"/>
  <c r="AT81" i="5"/>
  <c r="BK81" i="5" s="1"/>
  <c r="AT53" i="5"/>
  <c r="BK53" i="5" s="1"/>
  <c r="AT40" i="5"/>
  <c r="BK40" i="5" s="1"/>
  <c r="AT97" i="5"/>
  <c r="BK97" i="5" s="1"/>
  <c r="AT28" i="5"/>
  <c r="BK28" i="5" s="1"/>
  <c r="AT82" i="5"/>
  <c r="BK82" i="5" s="1"/>
  <c r="AT37" i="5"/>
  <c r="BK37" i="5" s="1"/>
  <c r="AT75" i="5"/>
  <c r="BK75" i="5" s="1"/>
  <c r="AT33" i="5"/>
  <c r="BK33" i="5" s="1"/>
  <c r="AT92" i="5"/>
  <c r="BK92" i="5" s="1"/>
  <c r="AT70" i="5"/>
  <c r="BK70" i="5" s="1"/>
  <c r="AT105" i="5"/>
  <c r="BK105" i="5" s="1"/>
  <c r="AT79" i="5"/>
  <c r="BK79" i="5" s="1"/>
  <c r="AT52" i="5"/>
  <c r="BK52" i="5" s="1"/>
  <c r="AT29" i="5"/>
  <c r="BK29" i="5" s="1"/>
  <c r="AT114" i="5"/>
  <c r="BK114" i="5" s="1"/>
  <c r="AT124" i="5"/>
  <c r="BK124" i="5" s="1"/>
  <c r="AT71" i="5"/>
  <c r="BK71" i="5" s="1"/>
  <c r="AT76" i="5"/>
  <c r="BK76" i="5" s="1"/>
  <c r="AT32" i="5"/>
  <c r="BK32" i="5" s="1"/>
  <c r="AT87" i="5"/>
  <c r="BK87" i="5" s="1"/>
  <c r="AT91" i="5"/>
  <c r="BK91" i="5" s="1"/>
  <c r="AT66" i="5"/>
  <c r="BK66" i="5" s="1"/>
  <c r="AT35" i="5"/>
  <c r="BK35" i="5" s="1"/>
  <c r="AT69" i="5"/>
  <c r="BK69" i="5" s="1"/>
  <c r="AT56" i="5"/>
  <c r="BK56" i="5" s="1"/>
  <c r="AT104" i="5"/>
  <c r="BK104" i="5" s="1"/>
  <c r="AT48" i="5"/>
  <c r="BK48" i="5" s="1"/>
  <c r="AT42" i="5"/>
  <c r="BK42" i="5" s="1"/>
  <c r="AT109" i="5"/>
  <c r="BK109" i="5" s="1"/>
  <c r="AT88" i="5"/>
  <c r="BK88" i="5" s="1"/>
  <c r="AT44" i="5"/>
  <c r="BK44" i="5" s="1"/>
  <c r="AT107" i="5"/>
  <c r="BK107" i="5" s="1"/>
  <c r="AT41" i="5"/>
  <c r="BK41" i="5" s="1"/>
  <c r="AT57" i="5"/>
  <c r="BK57" i="5" s="1"/>
  <c r="AT58" i="5"/>
  <c r="BK58" i="5" s="1"/>
  <c r="AT67" i="5"/>
  <c r="BK67" i="5" s="1"/>
  <c r="AT96" i="5"/>
  <c r="BK96" i="5" s="1"/>
  <c r="AT77" i="5"/>
  <c r="BK77" i="5" s="1"/>
  <c r="AT99" i="5"/>
  <c r="BK99" i="5" s="1"/>
  <c r="AT94" i="5"/>
  <c r="BK94" i="5" s="1"/>
  <c r="AT123" i="5"/>
  <c r="BK123" i="5" s="1"/>
  <c r="AT62" i="5"/>
  <c r="BK62" i="5" s="1"/>
  <c r="AT68" i="5"/>
  <c r="BK68" i="5" s="1"/>
  <c r="AT64" i="5"/>
  <c r="BK64" i="5" s="1"/>
  <c r="AT93" i="5"/>
  <c r="BK93" i="5" s="1"/>
  <c r="AT113" i="5"/>
  <c r="BK113" i="5" s="1"/>
  <c r="AT38" i="5"/>
  <c r="BK38" i="5" s="1"/>
  <c r="AT30" i="5"/>
  <c r="BK30" i="5" s="1"/>
  <c r="AT89" i="5"/>
  <c r="BK89" i="5" s="1"/>
  <c r="AT118" i="5"/>
  <c r="BK118" i="5" s="1"/>
  <c r="AT111" i="5"/>
  <c r="BK111" i="5" s="1"/>
  <c r="AT61" i="5"/>
  <c r="BK61" i="5" s="1"/>
  <c r="AT86" i="5"/>
  <c r="BK86" i="5" s="1"/>
  <c r="AT49" i="5"/>
  <c r="BK49" i="5" s="1"/>
  <c r="AT85" i="5"/>
  <c r="BK85" i="5" s="1"/>
  <c r="AT47" i="5"/>
  <c r="BK47" i="5" s="1"/>
  <c r="AE95" i="5" l="1" a="1"/>
  <c r="AE95" i="5" s="1"/>
  <c r="AE36" i="5" a="1"/>
  <c r="AE36" i="5" s="1"/>
  <c r="AE124" i="5" a="1"/>
  <c r="AE124" i="5" s="1"/>
  <c r="AE51" i="5" a="1"/>
  <c r="AE51" i="5" s="1"/>
  <c r="AE55" i="5" a="1"/>
  <c r="AE55" i="5" s="1"/>
  <c r="AE80" i="5" a="1"/>
  <c r="AE80" i="5" s="1"/>
  <c r="AE89" i="5" a="1"/>
  <c r="AE89" i="5" s="1"/>
  <c r="AE71" i="5" a="1"/>
  <c r="AE71" i="5" s="1"/>
  <c r="AE53" i="5" a="1"/>
  <c r="AE53" i="5" s="1"/>
  <c r="AE98" i="5" a="1"/>
  <c r="AE98" i="5" s="1"/>
  <c r="AE30" i="5" a="1"/>
  <c r="AE30" i="5" s="1"/>
  <c r="AE107" i="5" a="1"/>
  <c r="AE107" i="5" s="1"/>
  <c r="AE81" i="5" a="1"/>
  <c r="AE81" i="5" s="1"/>
  <c r="AE38" i="5" a="1"/>
  <c r="AE38" i="5" s="1"/>
  <c r="AE44" i="5" a="1"/>
  <c r="AE44" i="5" s="1"/>
  <c r="AE114" i="5" a="1"/>
  <c r="AE114" i="5" s="1"/>
  <c r="AE122" i="5" a="1"/>
  <c r="AE122" i="5" s="1"/>
  <c r="AE100" i="5" a="1"/>
  <c r="AE100" i="5" s="1"/>
  <c r="AE116" i="5" a="1"/>
  <c r="AE116" i="5" s="1"/>
  <c r="AE73" i="5" a="1"/>
  <c r="AE73" i="5" s="1"/>
  <c r="AE83" i="5" a="1"/>
  <c r="AE83" i="5" s="1"/>
  <c r="AE113" i="5" a="1"/>
  <c r="AE113" i="5" s="1"/>
  <c r="AE88" i="5" a="1"/>
  <c r="AE88" i="5" s="1"/>
  <c r="AE29" i="5" a="1"/>
  <c r="AE29" i="5" s="1"/>
  <c r="AE65" i="5" a="1"/>
  <c r="AE65" i="5" s="1"/>
  <c r="AE108" i="5" a="1"/>
  <c r="AE108" i="5" s="1"/>
  <c r="AE50" i="5" a="1"/>
  <c r="AE50" i="5" s="1"/>
  <c r="AE74" i="5" a="1"/>
  <c r="AE74" i="5" s="1"/>
  <c r="AE40" i="5" a="1"/>
  <c r="AE40" i="5" s="1"/>
  <c r="AE93" i="5" a="1"/>
  <c r="AE93" i="5" s="1"/>
  <c r="AE109" i="5" a="1"/>
  <c r="AE109" i="5" s="1"/>
  <c r="AE52" i="5" a="1"/>
  <c r="AE52" i="5" s="1"/>
  <c r="AE27" i="5" a="1"/>
  <c r="AE27" i="5" s="1"/>
  <c r="AE78" i="5" a="1"/>
  <c r="AE78" i="5" s="1"/>
  <c r="AE34" i="5" a="1"/>
  <c r="AE34" i="5" s="1"/>
  <c r="AE58" i="5" a="1"/>
  <c r="AE58" i="5" s="1"/>
  <c r="AE64" i="5" a="1"/>
  <c r="AE64" i="5" s="1"/>
  <c r="AE42" i="5" a="1"/>
  <c r="AE42" i="5" s="1"/>
  <c r="AE79" i="5" a="1"/>
  <c r="AE79" i="5" s="1"/>
  <c r="AE45" i="5" a="1"/>
  <c r="AE45" i="5" s="1"/>
  <c r="AE120" i="5" a="1"/>
  <c r="AE120" i="5" s="1"/>
  <c r="AE31" i="5" a="1"/>
  <c r="AE31" i="5" s="1"/>
  <c r="AE46" i="5" a="1"/>
  <c r="AE46" i="5" s="1"/>
  <c r="AE63" i="5" a="1"/>
  <c r="AE63" i="5" s="1"/>
  <c r="AE106" i="5" a="1"/>
  <c r="AE106" i="5" s="1"/>
  <c r="AE43" i="5" a="1"/>
  <c r="AE43" i="5" s="1"/>
  <c r="AE67" i="5" a="1"/>
  <c r="AE67" i="5" s="1"/>
  <c r="AE111" i="5" a="1"/>
  <c r="AE111" i="5" s="1"/>
  <c r="AE57" i="5" a="1"/>
  <c r="AE57" i="5" s="1"/>
  <c r="AE105" i="5" a="1"/>
  <c r="AE105" i="5" s="1"/>
  <c r="AE123" i="5" a="1"/>
  <c r="AE123" i="5" s="1"/>
  <c r="AE90" i="5" a="1"/>
  <c r="AE90" i="5" s="1"/>
  <c r="AE84" i="5" a="1"/>
  <c r="AE84" i="5" s="1"/>
  <c r="AE87" i="5" a="1"/>
  <c r="AE87" i="5" s="1"/>
  <c r="AE32" i="5" a="1"/>
  <c r="AE32" i="5" s="1"/>
  <c r="AE41" i="5" a="1"/>
  <c r="AE41" i="5" s="1"/>
  <c r="AE48" i="5" a="1"/>
  <c r="AE48" i="5" s="1"/>
  <c r="AE28" i="5" a="1"/>
  <c r="AE28" i="5" s="1"/>
  <c r="AE76" i="5" a="1"/>
  <c r="AE76" i="5" s="1"/>
  <c r="AE68" i="5" a="1"/>
  <c r="AE68" i="5" s="1"/>
  <c r="AE70" i="5" a="1"/>
  <c r="AE70" i="5" s="1"/>
  <c r="AE92" i="5" a="1"/>
  <c r="AE92" i="5" s="1"/>
  <c r="AE33" i="5" a="1"/>
  <c r="AE33" i="5" s="1"/>
  <c r="AE99" i="5" a="1"/>
  <c r="AE99" i="5" s="1"/>
  <c r="AE75" i="5" a="1"/>
  <c r="AE75" i="5" s="1"/>
  <c r="AE103" i="5" a="1"/>
  <c r="AE103" i="5" s="1"/>
  <c r="AE72" i="5" a="1"/>
  <c r="AE72" i="5" s="1"/>
  <c r="AE26" i="5" a="1"/>
  <c r="AE26" i="5" s="1"/>
  <c r="AE61" i="5" a="1"/>
  <c r="AE61" i="5" s="1"/>
  <c r="AE97" i="5" a="1"/>
  <c r="AE97" i="5" s="1"/>
  <c r="AE118" i="5" a="1"/>
  <c r="AE118" i="5" s="1"/>
  <c r="AE39" i="5" a="1"/>
  <c r="AE39" i="5" s="1"/>
  <c r="AE62" i="5" a="1"/>
  <c r="AE62" i="5" s="1"/>
  <c r="AE101" i="5" a="1"/>
  <c r="AE101" i="5" s="1"/>
  <c r="AE56" i="5" a="1"/>
  <c r="AE56" i="5" s="1"/>
  <c r="AE47" i="5" a="1"/>
  <c r="AE47" i="5" s="1"/>
  <c r="AE94" i="5" a="1"/>
  <c r="AE94" i="5" s="1"/>
  <c r="AE69" i="5" a="1"/>
  <c r="AE69" i="5" s="1"/>
  <c r="AE115" i="5" a="1"/>
  <c r="AE115" i="5" s="1"/>
  <c r="AE102" i="5" a="1"/>
  <c r="AE102" i="5" s="1"/>
  <c r="AE117" i="5" a="1"/>
  <c r="AE117" i="5" s="1"/>
  <c r="AE85" i="5" a="1"/>
  <c r="AE85" i="5" s="1"/>
  <c r="AE35" i="5" a="1"/>
  <c r="AE35" i="5" s="1"/>
  <c r="AE49" i="5" a="1"/>
  <c r="AE49" i="5" s="1"/>
  <c r="AE77" i="5" a="1"/>
  <c r="AE77" i="5" s="1"/>
  <c r="AE66" i="5" a="1"/>
  <c r="AE66" i="5" s="1"/>
  <c r="AE37" i="5" a="1"/>
  <c r="AE37" i="5" s="1"/>
  <c r="AE119" i="5" a="1"/>
  <c r="AE119" i="5" s="1"/>
  <c r="AE110" i="5" a="1"/>
  <c r="AE110" i="5" s="1"/>
  <c r="AE60" i="5" a="1"/>
  <c r="AE60" i="5" s="1"/>
  <c r="AE25" i="5" a="1"/>
  <c r="AE25" i="5" s="1"/>
  <c r="AE104" i="5" a="1"/>
  <c r="AE104" i="5" s="1"/>
  <c r="AE59" i="5" a="1"/>
  <c r="AE59" i="5" s="1"/>
  <c r="AE86" i="5" a="1"/>
  <c r="AE86" i="5" s="1"/>
  <c r="AE96" i="5" a="1"/>
  <c r="AE96" i="5" s="1"/>
  <c r="AE91" i="5" a="1"/>
  <c r="AE91" i="5" s="1"/>
  <c r="AE82" i="5" a="1"/>
  <c r="AE82" i="5" s="1"/>
  <c r="AE112" i="5" a="1"/>
  <c r="AE112" i="5" s="1"/>
  <c r="AE121" i="5" a="1"/>
  <c r="AE121" i="5" s="1"/>
  <c r="AE54" i="5" a="1"/>
  <c r="AE54" i="5" s="1"/>
  <c r="AE21" i="5" l="1"/>
  <c r="AE22" i="5" l="1"/>
  <c r="AE23" i="5"/>
  <c r="AU95" i="5" l="1"/>
  <c r="BL95" i="5" s="1"/>
  <c r="AU53" i="5"/>
  <c r="BL53" i="5" s="1"/>
  <c r="AU122" i="5"/>
  <c r="BL122" i="5" s="1"/>
  <c r="AU65" i="5"/>
  <c r="BL65" i="5" s="1"/>
  <c r="AU27" i="5"/>
  <c r="BL27" i="5" s="1"/>
  <c r="AU120" i="5"/>
  <c r="BL120" i="5" s="1"/>
  <c r="AU57" i="5"/>
  <c r="BL57" i="5" s="1"/>
  <c r="AU48" i="5"/>
  <c r="BL48" i="5" s="1"/>
  <c r="AU75" i="5"/>
  <c r="BL75" i="5" s="1"/>
  <c r="AU62" i="5"/>
  <c r="BL62" i="5" s="1"/>
  <c r="AU117" i="5"/>
  <c r="BL117" i="5" s="1"/>
  <c r="AU110" i="5"/>
  <c r="BL110" i="5" s="1"/>
  <c r="AU82" i="5"/>
  <c r="BL82" i="5" s="1"/>
  <c r="AU36" i="5"/>
  <c r="BL36" i="5" s="1"/>
  <c r="AU98" i="5"/>
  <c r="BL98" i="5" s="1"/>
  <c r="AU100" i="5"/>
  <c r="BL100" i="5" s="1"/>
  <c r="AU108" i="5"/>
  <c r="BL108" i="5" s="1"/>
  <c r="AU78" i="5"/>
  <c r="BL78" i="5" s="1"/>
  <c r="AU31" i="5"/>
  <c r="BL31" i="5" s="1"/>
  <c r="AU105" i="5"/>
  <c r="BL105" i="5" s="1"/>
  <c r="AU28" i="5"/>
  <c r="BL28" i="5" s="1"/>
  <c r="AU103" i="5"/>
  <c r="BL103" i="5" s="1"/>
  <c r="AU101" i="5"/>
  <c r="BL101" i="5" s="1"/>
  <c r="AU85" i="5"/>
  <c r="BL85" i="5" s="1"/>
  <c r="AU60" i="5"/>
  <c r="BL60" i="5" s="1"/>
  <c r="AU112" i="5"/>
  <c r="BL112" i="5" s="1"/>
  <c r="AU124" i="5"/>
  <c r="BL124" i="5" s="1"/>
  <c r="AU30" i="5"/>
  <c r="BL30" i="5" s="1"/>
  <c r="AU116" i="5"/>
  <c r="BL116" i="5" s="1"/>
  <c r="AU50" i="5"/>
  <c r="BL50" i="5" s="1"/>
  <c r="AU34" i="5"/>
  <c r="BL34" i="5" s="1"/>
  <c r="AU46" i="5"/>
  <c r="BL46" i="5" s="1"/>
  <c r="AU123" i="5"/>
  <c r="BL123" i="5" s="1"/>
  <c r="AU76" i="5"/>
  <c r="BL76" i="5" s="1"/>
  <c r="AU72" i="5"/>
  <c r="BL72" i="5" s="1"/>
  <c r="AU56" i="5"/>
  <c r="BL56" i="5" s="1"/>
  <c r="AU35" i="5"/>
  <c r="BL35" i="5" s="1"/>
  <c r="AU25" i="5"/>
  <c r="BL25" i="5" s="1"/>
  <c r="AU121" i="5"/>
  <c r="BL121" i="5" s="1"/>
  <c r="AU51" i="5"/>
  <c r="BL51" i="5" s="1"/>
  <c r="AU107" i="5"/>
  <c r="BL107" i="5" s="1"/>
  <c r="AU73" i="5"/>
  <c r="BL73" i="5" s="1"/>
  <c r="AU74" i="5"/>
  <c r="BL74" i="5" s="1"/>
  <c r="AU58" i="5"/>
  <c r="BL58" i="5" s="1"/>
  <c r="AU63" i="5"/>
  <c r="BL63" i="5" s="1"/>
  <c r="AU90" i="5"/>
  <c r="BL90" i="5" s="1"/>
  <c r="AU68" i="5"/>
  <c r="BL68" i="5" s="1"/>
  <c r="AU26" i="5"/>
  <c r="BL26" i="5" s="1"/>
  <c r="AU47" i="5"/>
  <c r="BL47" i="5" s="1"/>
  <c r="AU49" i="5"/>
  <c r="BL49" i="5" s="1"/>
  <c r="AU104" i="5"/>
  <c r="BL104" i="5" s="1"/>
  <c r="AU54" i="5"/>
  <c r="BL54" i="5" s="1"/>
  <c r="AU55" i="5"/>
  <c r="BL55" i="5" s="1"/>
  <c r="AU81" i="5"/>
  <c r="BL81" i="5" s="1"/>
  <c r="AU83" i="5"/>
  <c r="BL83" i="5" s="1"/>
  <c r="AU40" i="5"/>
  <c r="BL40" i="5" s="1"/>
  <c r="AU64" i="5"/>
  <c r="BL64" i="5" s="1"/>
  <c r="AU106" i="5"/>
  <c r="BL106" i="5" s="1"/>
  <c r="AU84" i="5"/>
  <c r="BL84" i="5" s="1"/>
  <c r="AU70" i="5"/>
  <c r="BL70" i="5" s="1"/>
  <c r="AU61" i="5"/>
  <c r="BL61" i="5" s="1"/>
  <c r="AU94" i="5"/>
  <c r="BL94" i="5" s="1"/>
  <c r="AU77" i="5"/>
  <c r="BL77" i="5" s="1"/>
  <c r="AU59" i="5"/>
  <c r="BL59" i="5" s="1"/>
  <c r="AU115" i="5"/>
  <c r="BL115" i="5" s="1"/>
  <c r="AU96" i="5"/>
  <c r="BL96" i="5" s="1"/>
  <c r="AU80" i="5"/>
  <c r="BL80" i="5" s="1"/>
  <c r="AU38" i="5"/>
  <c r="BL38" i="5" s="1"/>
  <c r="AU113" i="5"/>
  <c r="BL113" i="5" s="1"/>
  <c r="AU93" i="5"/>
  <c r="BL93" i="5" s="1"/>
  <c r="AU42" i="5"/>
  <c r="BL42" i="5" s="1"/>
  <c r="AU43" i="5"/>
  <c r="BL43" i="5" s="1"/>
  <c r="AU87" i="5"/>
  <c r="BL87" i="5" s="1"/>
  <c r="AU92" i="5"/>
  <c r="BL92" i="5" s="1"/>
  <c r="AU97" i="5"/>
  <c r="BL97" i="5" s="1"/>
  <c r="AU69" i="5"/>
  <c r="BL69" i="5" s="1"/>
  <c r="AU66" i="5"/>
  <c r="BL66" i="5" s="1"/>
  <c r="AU86" i="5"/>
  <c r="BL86" i="5" s="1"/>
  <c r="AU89" i="5"/>
  <c r="BL89" i="5" s="1"/>
  <c r="AU44" i="5"/>
  <c r="BL44" i="5" s="1"/>
  <c r="AU88" i="5"/>
  <c r="BL88" i="5" s="1"/>
  <c r="AU109" i="5"/>
  <c r="BL109" i="5" s="1"/>
  <c r="AU79" i="5"/>
  <c r="BL79" i="5" s="1"/>
  <c r="AU67" i="5"/>
  <c r="BL67" i="5" s="1"/>
  <c r="AU32" i="5"/>
  <c r="BL32" i="5" s="1"/>
  <c r="AU33" i="5"/>
  <c r="BL33" i="5" s="1"/>
  <c r="AU118" i="5"/>
  <c r="BL118" i="5" s="1"/>
  <c r="AU37" i="5"/>
  <c r="BL37" i="5" s="1"/>
  <c r="AU71" i="5"/>
  <c r="BL71" i="5" s="1"/>
  <c r="AU114" i="5"/>
  <c r="BL114" i="5" s="1"/>
  <c r="AU29" i="5"/>
  <c r="BL29" i="5" s="1"/>
  <c r="AU52" i="5"/>
  <c r="BL52" i="5" s="1"/>
  <c r="AU45" i="5"/>
  <c r="BL45" i="5" s="1"/>
  <c r="AU111" i="5"/>
  <c r="BL111" i="5" s="1"/>
  <c r="AU41" i="5"/>
  <c r="BL41" i="5" s="1"/>
  <c r="AU99" i="5"/>
  <c r="BL99" i="5" s="1"/>
  <c r="AU39" i="5"/>
  <c r="BL39" i="5" s="1"/>
  <c r="AU102" i="5"/>
  <c r="BL102" i="5" s="1"/>
  <c r="AU119" i="5"/>
  <c r="BL119" i="5" s="1"/>
  <c r="AU91" i="5"/>
  <c r="BL91" i="5" s="1"/>
  <c r="D124" i="5"/>
  <c r="D75" i="5"/>
  <c r="D26" i="5"/>
  <c r="D72" i="5"/>
  <c r="D89" i="5"/>
  <c r="D116" i="5"/>
  <c r="D42" i="5"/>
  <c r="D62" i="5"/>
  <c r="D60" i="5"/>
  <c r="D45" i="5"/>
  <c r="D91" i="5"/>
  <c r="D78" i="5"/>
  <c r="D82" i="5"/>
  <c r="D85" i="5"/>
  <c r="D98" i="5"/>
  <c r="D35" i="5"/>
  <c r="D27" i="5"/>
  <c r="D107" i="5"/>
  <c r="D97" i="5"/>
  <c r="D34" i="5"/>
  <c r="D56" i="5"/>
  <c r="D51" i="5"/>
  <c r="D31" i="5"/>
  <c r="D44" i="5"/>
  <c r="D64" i="5"/>
  <c r="D94" i="5"/>
  <c r="D71" i="5"/>
  <c r="D112" i="5"/>
  <c r="D33" i="5"/>
  <c r="D115" i="5"/>
  <c r="D90" i="5"/>
  <c r="D104" i="5"/>
  <c r="D110" i="5"/>
  <c r="D120" i="5"/>
  <c r="AF89" i="5" l="1" a="1"/>
  <c r="AF89" i="5" s="1"/>
  <c r="AF34" i="5" a="1"/>
  <c r="AF34" i="5" s="1"/>
  <c r="AF63" i="5" a="1"/>
  <c r="AF63" i="5" s="1"/>
  <c r="AF97" i="5" a="1"/>
  <c r="AF97" i="5" s="1"/>
  <c r="AF124" i="5" a="1"/>
  <c r="AF124" i="5" s="1"/>
  <c r="AF99" i="5" a="1"/>
  <c r="AF99" i="5" s="1"/>
  <c r="AF98" i="5" a="1"/>
  <c r="AF98" i="5" s="1"/>
  <c r="AF82" i="5" a="1"/>
  <c r="AF82" i="5" s="1"/>
  <c r="AF29" i="5" a="1"/>
  <c r="AF29" i="5" s="1"/>
  <c r="AF84" i="5" a="1"/>
  <c r="AF84" i="5" s="1"/>
  <c r="AF74" i="5" a="1"/>
  <c r="AF74" i="5" s="1"/>
  <c r="AF117" i="5" a="1"/>
  <c r="AF117" i="5" s="1"/>
  <c r="AF114" i="5" a="1"/>
  <c r="AF114" i="5" s="1"/>
  <c r="AF92" i="5" a="1"/>
  <c r="AF92" i="5" s="1"/>
  <c r="AF106" i="5" a="1"/>
  <c r="AF106" i="5" s="1"/>
  <c r="AF73" i="5" a="1"/>
  <c r="AF73" i="5" s="1"/>
  <c r="AF112" i="5" a="1"/>
  <c r="AF112" i="5" s="1"/>
  <c r="AF62" i="5" a="1"/>
  <c r="AF62" i="5" s="1"/>
  <c r="AF41" i="5" a="1"/>
  <c r="AF41" i="5" s="1"/>
  <c r="AF111" i="5" a="1"/>
  <c r="AF111" i="5" s="1"/>
  <c r="AF61" i="5" a="1"/>
  <c r="AF61" i="5" s="1"/>
  <c r="AF69" i="5" a="1"/>
  <c r="AF69" i="5" s="1"/>
  <c r="AF71" i="5" a="1"/>
  <c r="AF71" i="5" s="1"/>
  <c r="AF87" i="5" a="1"/>
  <c r="AF87" i="5" s="1"/>
  <c r="AF64" i="5" a="1"/>
  <c r="AF64" i="5" s="1"/>
  <c r="AF107" i="5" a="1"/>
  <c r="AF107" i="5" s="1"/>
  <c r="AF60" i="5" a="1"/>
  <c r="AF60" i="5" s="1"/>
  <c r="AF75" i="5" a="1"/>
  <c r="AF75" i="5" s="1"/>
  <c r="AF46" i="5" a="1"/>
  <c r="AF46" i="5" s="1"/>
  <c r="AF86" i="5" a="1"/>
  <c r="AF86" i="5" s="1"/>
  <c r="AF110" i="5" a="1"/>
  <c r="AF110" i="5" s="1"/>
  <c r="AF37" i="5" a="1"/>
  <c r="AF37" i="5" s="1"/>
  <c r="AF43" i="5" a="1"/>
  <c r="AF43" i="5" s="1"/>
  <c r="AF40" i="5" a="1"/>
  <c r="AF40" i="5" s="1"/>
  <c r="AF51" i="5" a="1"/>
  <c r="AF51" i="5" s="1"/>
  <c r="AF85" i="5" a="1"/>
  <c r="AF85" i="5" s="1"/>
  <c r="AF48" i="5" a="1"/>
  <c r="AF48" i="5" s="1"/>
  <c r="AF44" i="5" a="1"/>
  <c r="AF44" i="5" s="1"/>
  <c r="AF50" i="5" a="1"/>
  <c r="AF50" i="5" s="1"/>
  <c r="AF45" i="5" a="1"/>
  <c r="AF45" i="5" s="1"/>
  <c r="AF30" i="5" a="1"/>
  <c r="AF30" i="5" s="1"/>
  <c r="AF118" i="5" a="1"/>
  <c r="AF118" i="5" s="1"/>
  <c r="AF42" i="5" a="1"/>
  <c r="AF42" i="5" s="1"/>
  <c r="AF83" i="5" a="1"/>
  <c r="AF83" i="5" s="1"/>
  <c r="AF121" i="5" a="1"/>
  <c r="AF121" i="5" s="1"/>
  <c r="AF101" i="5" a="1"/>
  <c r="AF101" i="5" s="1"/>
  <c r="AF57" i="5" a="1"/>
  <c r="AF57" i="5" s="1"/>
  <c r="AF36" i="5" a="1"/>
  <c r="AF36" i="5" s="1"/>
  <c r="AF33" i="5" a="1"/>
  <c r="AF33" i="5" s="1"/>
  <c r="AF103" i="5" a="1"/>
  <c r="AF103" i="5" s="1"/>
  <c r="AF120" i="5" a="1"/>
  <c r="AF120" i="5" s="1"/>
  <c r="AF28" i="5" a="1"/>
  <c r="AF28" i="5" s="1"/>
  <c r="AF27" i="5" a="1"/>
  <c r="AF27" i="5" s="1"/>
  <c r="AF59" i="5" a="1"/>
  <c r="AF59" i="5" s="1"/>
  <c r="AF90" i="5" a="1"/>
  <c r="AF90" i="5" s="1"/>
  <c r="AF70" i="5" a="1"/>
  <c r="AF70" i="5" s="1"/>
  <c r="AF93" i="5" a="1"/>
  <c r="AF93" i="5" s="1"/>
  <c r="AF67" i="5" a="1"/>
  <c r="AF67" i="5" s="1"/>
  <c r="AF105" i="5" a="1"/>
  <c r="AF105" i="5" s="1"/>
  <c r="AF100" i="5" a="1"/>
  <c r="AF100" i="5" s="1"/>
  <c r="AF68" i="5" a="1"/>
  <c r="AF68" i="5" s="1"/>
  <c r="AF116" i="5" a="1"/>
  <c r="AF116" i="5" s="1"/>
  <c r="AF52" i="5" a="1"/>
  <c r="AF52" i="5" s="1"/>
  <c r="AF81" i="5" a="1"/>
  <c r="AF81" i="5" s="1"/>
  <c r="AF32" i="5" a="1"/>
  <c r="AF32" i="5" s="1"/>
  <c r="AF35" i="5" a="1"/>
  <c r="AF35" i="5" s="1"/>
  <c r="AF91" i="5" a="1"/>
  <c r="AF91" i="5" s="1"/>
  <c r="AF54" i="5" a="1"/>
  <c r="AF54" i="5" s="1"/>
  <c r="AF65" i="5" a="1"/>
  <c r="AF65" i="5" s="1"/>
  <c r="AF119" i="5" a="1"/>
  <c r="AF119" i="5" s="1"/>
  <c r="AF79" i="5" a="1"/>
  <c r="AF79" i="5" s="1"/>
  <c r="AF80" i="5" a="1"/>
  <c r="AF80" i="5" s="1"/>
  <c r="AF104" i="5" a="1"/>
  <c r="AF104" i="5" s="1"/>
  <c r="AF72" i="5" a="1"/>
  <c r="AF72" i="5" s="1"/>
  <c r="AF31" i="5" a="1"/>
  <c r="AF31" i="5" s="1"/>
  <c r="AF122" i="5" a="1"/>
  <c r="AF122" i="5" s="1"/>
  <c r="AF26" i="5" a="1"/>
  <c r="AF26" i="5" s="1"/>
  <c r="AF94" i="5" a="1"/>
  <c r="AF94" i="5" s="1"/>
  <c r="AF58" i="5" a="1"/>
  <c r="AF58" i="5" s="1"/>
  <c r="AF55" i="5" a="1"/>
  <c r="AF55" i="5" s="1"/>
  <c r="AF56" i="5" a="1"/>
  <c r="AF56" i="5" s="1"/>
  <c r="AF102" i="5" a="1"/>
  <c r="AF102" i="5" s="1"/>
  <c r="AF109" i="5" a="1"/>
  <c r="AF109" i="5" s="1"/>
  <c r="AF96" i="5" a="1"/>
  <c r="AF96" i="5" s="1"/>
  <c r="AF49" i="5" a="1"/>
  <c r="AF49" i="5" s="1"/>
  <c r="AF76" i="5" a="1"/>
  <c r="AF76" i="5" s="1"/>
  <c r="AF78" i="5" a="1"/>
  <c r="AF78" i="5" s="1"/>
  <c r="AF53" i="5" a="1"/>
  <c r="AF53" i="5" s="1"/>
  <c r="AF77" i="5" a="1"/>
  <c r="AF77" i="5" s="1"/>
  <c r="AF66" i="5" a="1"/>
  <c r="AF66" i="5" s="1"/>
  <c r="AF25" i="5" a="1"/>
  <c r="AF25" i="5" s="1"/>
  <c r="AF113" i="5" a="1"/>
  <c r="AF113" i="5" s="1"/>
  <c r="AF38" i="5" a="1"/>
  <c r="AF38" i="5" s="1"/>
  <c r="AF39" i="5" a="1"/>
  <c r="AF39" i="5" s="1"/>
  <c r="AF88" i="5" a="1"/>
  <c r="AF88" i="5" s="1"/>
  <c r="AF115" i="5" a="1"/>
  <c r="AF115" i="5" s="1"/>
  <c r="AF47" i="5" a="1"/>
  <c r="AF47" i="5" s="1"/>
  <c r="AF123" i="5" a="1"/>
  <c r="AF123" i="5" s="1"/>
  <c r="AF108" i="5" a="1"/>
  <c r="AF108" i="5" s="1"/>
  <c r="AF95" i="5" a="1"/>
  <c r="AF95" i="5" s="1"/>
  <c r="AF21" i="5" l="1"/>
  <c r="AF22" i="5" l="1"/>
  <c r="AF23" i="5"/>
  <c r="AV124" i="5" l="1"/>
  <c r="BM124" i="5" s="1"/>
  <c r="AV33" i="5"/>
  <c r="BM33" i="5" s="1"/>
  <c r="AV114" i="5"/>
  <c r="AV61" i="5"/>
  <c r="AV46" i="5"/>
  <c r="BM46" i="5" s="1"/>
  <c r="AV51" i="5"/>
  <c r="BM51" i="5" s="1"/>
  <c r="AV93" i="5"/>
  <c r="AV32" i="5"/>
  <c r="BM32" i="5" s="1"/>
  <c r="AV99" i="5"/>
  <c r="BM99" i="5" s="1"/>
  <c r="AV118" i="5"/>
  <c r="BM118" i="5" s="1"/>
  <c r="AV103" i="5"/>
  <c r="BM103" i="5" s="1"/>
  <c r="AV79" i="5"/>
  <c r="BM79" i="5" s="1"/>
  <c r="AV58" i="5"/>
  <c r="BM58" i="5" s="1"/>
  <c r="AV109" i="5"/>
  <c r="BM109" i="5" s="1"/>
  <c r="AV25" i="5"/>
  <c r="BM25" i="5" s="1"/>
  <c r="AV123" i="5"/>
  <c r="AV92" i="5"/>
  <c r="BM92" i="5" s="1"/>
  <c r="AV69" i="5"/>
  <c r="BM69" i="5" s="1"/>
  <c r="AV86" i="5"/>
  <c r="BM86" i="5" s="1"/>
  <c r="AV85" i="5"/>
  <c r="BM85" i="5" s="1"/>
  <c r="AV67" i="5"/>
  <c r="BM67" i="5" s="1"/>
  <c r="AV35" i="5"/>
  <c r="BM35" i="5" s="1"/>
  <c r="AV42" i="5"/>
  <c r="BM42" i="5" s="1"/>
  <c r="AV120" i="5"/>
  <c r="BM120" i="5" s="1"/>
  <c r="AV80" i="5"/>
  <c r="BM80" i="5" s="1"/>
  <c r="AV55" i="5"/>
  <c r="BM55" i="5" s="1"/>
  <c r="AV96" i="5"/>
  <c r="BM96" i="5" s="1"/>
  <c r="AV113" i="5"/>
  <c r="AV108" i="5"/>
  <c r="AV60" i="5"/>
  <c r="BM60" i="5" s="1"/>
  <c r="AV30" i="5"/>
  <c r="BM30" i="5" s="1"/>
  <c r="AV52" i="5"/>
  <c r="BM52" i="5" s="1"/>
  <c r="AV98" i="5"/>
  <c r="BM98" i="5" s="1"/>
  <c r="AV106" i="5"/>
  <c r="AV71" i="5"/>
  <c r="BM71" i="5" s="1"/>
  <c r="AV110" i="5"/>
  <c r="BM110" i="5" s="1"/>
  <c r="AV48" i="5"/>
  <c r="AV105" i="5"/>
  <c r="BM105" i="5" s="1"/>
  <c r="AV83" i="5"/>
  <c r="BM83" i="5" s="1"/>
  <c r="AV95" i="5"/>
  <c r="BM95" i="5" s="1"/>
  <c r="AV75" i="5"/>
  <c r="BM75" i="5" s="1"/>
  <c r="AV82" i="5"/>
  <c r="BM82" i="5" s="1"/>
  <c r="AV28" i="5"/>
  <c r="BM28" i="5" s="1"/>
  <c r="AV104" i="5"/>
  <c r="BM104" i="5" s="1"/>
  <c r="AV49" i="5"/>
  <c r="BM49" i="5" s="1"/>
  <c r="AV38" i="5"/>
  <c r="BM38" i="5" s="1"/>
  <c r="AV53" i="5"/>
  <c r="AV73" i="5"/>
  <c r="AV87" i="5"/>
  <c r="BM87" i="5" s="1"/>
  <c r="AV44" i="5"/>
  <c r="BM44" i="5" s="1"/>
  <c r="AV100" i="5"/>
  <c r="BM100" i="5" s="1"/>
  <c r="AV91" i="5"/>
  <c r="BM91" i="5" s="1"/>
  <c r="AV121" i="5"/>
  <c r="BM121" i="5" s="1"/>
  <c r="AV27" i="5"/>
  <c r="BM27" i="5" s="1"/>
  <c r="AV43" i="5"/>
  <c r="BM43" i="5" s="1"/>
  <c r="AV97" i="5"/>
  <c r="BM97" i="5" s="1"/>
  <c r="AV36" i="5"/>
  <c r="BM36" i="5" s="1"/>
  <c r="AV26" i="5"/>
  <c r="BM26" i="5" s="1"/>
  <c r="AV77" i="5"/>
  <c r="BM77" i="5" s="1"/>
  <c r="AV70" i="5"/>
  <c r="BM70" i="5" s="1"/>
  <c r="AV119" i="5"/>
  <c r="BM119" i="5" s="1"/>
  <c r="AV102" i="5"/>
  <c r="BM102" i="5" s="1"/>
  <c r="AV47" i="5"/>
  <c r="BM47" i="5" s="1"/>
  <c r="AV89" i="5"/>
  <c r="BM89" i="5" s="1"/>
  <c r="AV29" i="5"/>
  <c r="BM29" i="5" s="1"/>
  <c r="AV72" i="5"/>
  <c r="BM72" i="5" s="1"/>
  <c r="AV56" i="5"/>
  <c r="BM56" i="5" s="1"/>
  <c r="AV76" i="5"/>
  <c r="BM76" i="5" s="1"/>
  <c r="AV122" i="5"/>
  <c r="BM122" i="5" s="1"/>
  <c r="AV88" i="5"/>
  <c r="BM88" i="5" s="1"/>
  <c r="AV41" i="5"/>
  <c r="BM41" i="5" s="1"/>
  <c r="AV117" i="5"/>
  <c r="AV115" i="5"/>
  <c r="BM115" i="5" s="1"/>
  <c r="AV40" i="5"/>
  <c r="BM40" i="5" s="1"/>
  <c r="AV81" i="5"/>
  <c r="BM81" i="5" s="1"/>
  <c r="AV94" i="5"/>
  <c r="BM94" i="5" s="1"/>
  <c r="AV66" i="5"/>
  <c r="AV112" i="5"/>
  <c r="BM112" i="5" s="1"/>
  <c r="AV64" i="5"/>
  <c r="BM64" i="5" s="1"/>
  <c r="AV50" i="5"/>
  <c r="AV68" i="5"/>
  <c r="BM68" i="5" s="1"/>
  <c r="AV54" i="5"/>
  <c r="AV107" i="5"/>
  <c r="BM107" i="5" s="1"/>
  <c r="AV37" i="5"/>
  <c r="BM37" i="5" s="1"/>
  <c r="AV45" i="5"/>
  <c r="BM45" i="5" s="1"/>
  <c r="AV34" i="5"/>
  <c r="BM34" i="5" s="1"/>
  <c r="AV84" i="5"/>
  <c r="BM84" i="5" s="1"/>
  <c r="AV101" i="5"/>
  <c r="BM101" i="5" s="1"/>
  <c r="AV59" i="5"/>
  <c r="BM59" i="5" s="1"/>
  <c r="AV31" i="5"/>
  <c r="BM31" i="5" s="1"/>
  <c r="AV78" i="5"/>
  <c r="BM78" i="5" s="1"/>
  <c r="AV39" i="5"/>
  <c r="BM39" i="5" s="1"/>
  <c r="AV111" i="5"/>
  <c r="AV62" i="5"/>
  <c r="BM62" i="5" s="1"/>
  <c r="AV116" i="5"/>
  <c r="BM116" i="5" s="1"/>
  <c r="AV65" i="5"/>
  <c r="BM65" i="5" s="1"/>
  <c r="AV63" i="5"/>
  <c r="AV74" i="5"/>
  <c r="BM74" i="5" s="1"/>
  <c r="AV57" i="5"/>
  <c r="AV90" i="5"/>
  <c r="BM90" i="5" s="1"/>
  <c r="BM73" i="5" l="1"/>
  <c r="D73" i="5"/>
  <c r="BM111" i="5"/>
  <c r="D111" i="5"/>
  <c r="D113" i="5"/>
  <c r="BM113" i="5"/>
  <c r="D117" i="5"/>
  <c r="BM117" i="5"/>
  <c r="D108" i="5"/>
  <c r="BM108" i="5"/>
  <c r="BM93" i="5"/>
  <c r="D93" i="5"/>
  <c r="BM50" i="5"/>
  <c r="D50" i="5"/>
  <c r="BM61" i="5"/>
  <c r="D61" i="5"/>
  <c r="BM123" i="5"/>
  <c r="D123" i="5"/>
  <c r="BM53" i="5"/>
  <c r="D53" i="5"/>
  <c r="BM66" i="5"/>
  <c r="D66" i="5"/>
  <c r="D57" i="5"/>
  <c r="BM57" i="5"/>
  <c r="D54" i="5"/>
  <c r="BM54" i="5"/>
  <c r="D106" i="5"/>
  <c r="BM106" i="5"/>
  <c r="BM48" i="5"/>
  <c r="D48" i="5"/>
  <c r="D114" i="5"/>
  <c r="BM114" i="5"/>
  <c r="D63" i="5"/>
  <c r="BM63" i="5"/>
  <c r="J12" i="5" l="1" a="1"/>
  <c r="J12" i="5" s="1"/>
  <c r="G18" i="5"/>
  <c r="H18" i="5" s="1"/>
  <c r="F8" i="5"/>
  <c r="J19" i="5" a="1"/>
  <c r="J19" i="5" s="1"/>
  <c r="D21" i="5"/>
  <c r="F10" i="5"/>
  <c r="G22" i="5"/>
  <c r="F13" i="5"/>
  <c r="G17" i="5"/>
  <c r="H17" i="5" s="1"/>
  <c r="C13" i="5"/>
  <c r="F16" i="5"/>
  <c r="J22" i="5" a="1"/>
  <c r="J22" i="5" s="1"/>
  <c r="F12" i="5"/>
  <c r="B10" i="5"/>
  <c r="C16" i="5"/>
  <c r="I16" i="5" s="1"/>
  <c r="D10" i="5"/>
  <c r="E10" i="5" s="1"/>
  <c r="C10" i="5"/>
  <c r="D11" i="5"/>
  <c r="B12" i="5"/>
  <c r="J15" i="5" a="1"/>
  <c r="J15" i="5" s="1"/>
  <c r="C12" i="5"/>
  <c r="J18" i="5" a="1"/>
  <c r="J18" i="5" s="1"/>
  <c r="B13" i="5"/>
  <c r="J9" i="5" a="1"/>
  <c r="J9" i="5" s="1"/>
  <c r="D14" i="5"/>
  <c r="G16" i="5"/>
  <c r="G12" i="5"/>
  <c r="F15" i="5"/>
  <c r="B16" i="5"/>
  <c r="C17" i="5"/>
  <c r="I17" i="5" s="1"/>
  <c r="B15" i="5"/>
  <c r="J17" i="5" a="1"/>
  <c r="J17" i="5" s="1"/>
  <c r="F11" i="5"/>
  <c r="G8" i="5"/>
  <c r="H8" i="5" s="1"/>
  <c r="D19" i="5"/>
  <c r="D17" i="5"/>
  <c r="F19" i="5"/>
  <c r="D15" i="5"/>
  <c r="G19" i="5"/>
  <c r="H19" i="5" s="1"/>
  <c r="G11" i="5"/>
  <c r="H11" i="5" s="1"/>
  <c r="C20" i="5"/>
  <c r="I20" i="5" s="1"/>
  <c r="J11" i="5" a="1"/>
  <c r="J11" i="5" s="1"/>
  <c r="J13" i="5" a="1"/>
  <c r="J13" i="5" s="1"/>
  <c r="B19" i="5"/>
  <c r="F20" i="5"/>
  <c r="F21" i="5"/>
  <c r="C18" i="5"/>
  <c r="G21" i="5"/>
  <c r="H21" i="5" s="1"/>
  <c r="F14" i="5"/>
  <c r="C22" i="5"/>
  <c r="I22" i="5" s="1"/>
  <c r="D12" i="5"/>
  <c r="E12" i="5" s="1"/>
  <c r="B20" i="5"/>
  <c r="C8" i="5"/>
  <c r="B8" i="5"/>
  <c r="B22" i="5"/>
  <c r="D9" i="5"/>
  <c r="F22" i="5"/>
  <c r="J10" i="5" a="1"/>
  <c r="J10" i="5" s="1"/>
  <c r="C19" i="5"/>
  <c r="I19" i="5" s="1"/>
  <c r="C14" i="5"/>
  <c r="I14" i="5" s="1"/>
  <c r="D8" i="5"/>
  <c r="E8" i="5" s="1"/>
  <c r="J21" i="5" a="1"/>
  <c r="J21" i="5" s="1"/>
  <c r="G15" i="5"/>
  <c r="H15" i="5" s="1"/>
  <c r="G13" i="5"/>
  <c r="H13" i="5" s="1"/>
  <c r="D18" i="5"/>
  <c r="B11" i="5"/>
  <c r="J14" i="5" a="1"/>
  <c r="J14" i="5" s="1"/>
  <c r="G9" i="5"/>
  <c r="H9" i="5" s="1"/>
  <c r="B18" i="5"/>
  <c r="D22" i="5"/>
  <c r="J16" i="5" a="1"/>
  <c r="J16" i="5" s="1"/>
  <c r="D20" i="5"/>
  <c r="C9" i="5"/>
  <c r="I9" i="5" s="1"/>
  <c r="B17" i="5"/>
  <c r="G20" i="5"/>
  <c r="C15" i="5"/>
  <c r="I15" i="5" s="1"/>
  <c r="B21" i="5"/>
  <c r="D13" i="5"/>
  <c r="E13" i="5" s="1"/>
  <c r="B14" i="5"/>
  <c r="B9" i="5"/>
  <c r="F18" i="5"/>
  <c r="J20" i="5" a="1"/>
  <c r="J20" i="5" s="1"/>
  <c r="F9" i="5"/>
  <c r="G14" i="5"/>
  <c r="H14" i="5" s="1"/>
  <c r="C21" i="5"/>
  <c r="I21" i="5" s="1"/>
  <c r="C11" i="5"/>
  <c r="I11" i="5" s="1"/>
  <c r="F17" i="5"/>
  <c r="J8" i="5" a="1"/>
  <c r="J8" i="5" s="1"/>
  <c r="D16" i="5"/>
  <c r="G10" i="5"/>
  <c r="H10" i="5" s="1"/>
  <c r="H12" i="5" l="1"/>
  <c r="H16" i="5"/>
  <c r="I13" i="5"/>
  <c r="E16" i="5"/>
  <c r="E14" i="5"/>
  <c r="E20" i="5"/>
  <c r="H22" i="5"/>
  <c r="H20" i="5"/>
  <c r="E22" i="5"/>
  <c r="I4" i="5"/>
  <c r="I3" i="5"/>
  <c r="G3" i="5"/>
  <c r="E4" i="5"/>
  <c r="E3" i="5"/>
  <c r="G4" i="5"/>
  <c r="E15" i="5"/>
  <c r="I8" i="5"/>
  <c r="I12" i="5"/>
  <c r="E21" i="5"/>
  <c r="E9" i="5"/>
  <c r="E17" i="5"/>
  <c r="E19" i="5"/>
  <c r="E11" i="5"/>
  <c r="I18" i="5"/>
  <c r="E18" i="5"/>
  <c r="I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Kieron Cassidy</author>
  </authors>
  <commentList>
    <comment ref="J30" authorId="0" shapeId="0" xr:uid="{80C3C02F-6A7C-4F65-B4C1-8F43906D6DD7}">
      <text>
        <r>
          <rPr>
            <b/>
            <sz val="9"/>
            <color indexed="81"/>
            <rFont val="Tahoma"/>
            <charset val="1"/>
          </rPr>
          <t>Kieron Cassidy:</t>
        </r>
        <r>
          <rPr>
            <sz val="9"/>
            <color indexed="81"/>
            <rFont val="Tahoma"/>
            <charset val="1"/>
          </rPr>
          <t xml:space="preserve">
Avg spine + weight/1000 — sorts primarily on spine, uses weight as tiebreak so matched sets are tight on both.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<sst xmlns="http://schemas.openxmlformats.org/spreadsheetml/2006/main" count="432" uniqueCount="306">
  <si>
    <t>BATCH 19 55-60#</t>
  </si>
  <si>
    <t>Shaft#</t>
  </si>
  <si>
    <t>Spine A (lb)</t>
  </si>
  <si>
    <t>Spine B (lb)</t>
  </si>
  <si>
    <t>Weight (g)</t>
  </si>
  <si>
    <t>19-01</t>
  </si>
  <si>
    <t>19-02</t>
  </si>
  <si>
    <t>19-03</t>
  </si>
  <si>
    <t>19-04</t>
  </si>
  <si>
    <t>19-05</t>
  </si>
  <si>
    <t>19-06</t>
  </si>
  <si>
    <t>19-07</t>
  </si>
  <si>
    <t>19-08</t>
  </si>
  <si>
    <t>19-09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</si>
  <si>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</si>
  <si>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</si>
  <si>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</si>
  <si>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</si>
  <si>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</si>
  <si>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</si>
  <si>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</si>
  <si>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</si>
  <si>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19-18</t>
  </si>
  <si>
    <t>19-19</t>
  </si>
  <si>
    <t>19-20</t>
  </si>
  <si>
    <t>19-21</t>
  </si>
  <si>
    <t>19-22</t>
  </si>
  <si>
    <t>19-23</t>
  </si>
  <si>
    <t>19-24</t>
  </si>
  <si>
    <t>19-25</t>
  </si>
  <si>
    <t>19-26</t>
  </si>
  <si>
    <t>19-27</t>
  </si>
  <si>
    <t>19-28</t>
  </si>
  <si>
    <t>19-29</t>
  </si>
  <si>
    <t>19-30</t>
  </si>
  <si>
    <t>19-31</t>
  </si>
  <si>
    <t>19-32</t>
  </si>
  <si>
    <t>19-33</t>
  </si>
  <si>
    <t>19-34</t>
  </si>
  <si>
    <t>19-35</t>
  </si>
  <si>
    <t>19-36</t>
  </si>
  <si>
    <t>19-37</t>
  </si>
  <si>
    <t>19-38</t>
  </si>
  <si>
    <t>19-39</t>
  </si>
  <si>
    <t>19-40</t>
  </si>
  <si>
    <t>19-41</t>
  </si>
  <si>
    <t>19-42</t>
  </si>
  <si>
    <t>19-43</t>
  </si>
  <si>
    <t>19-44</t>
  </si>
  <si>
    <t>19-45</t>
  </si>
  <si>
    <t>19-46</t>
  </si>
  <si>
    <t>19-47</t>
  </si>
  <si>
    <t>19-48</t>
  </si>
  <si>
    <t>19-49</t>
  </si>
  <si>
    <t>19-50</t>
  </si>
  <si>
    <t>BATCH 20 55-60#</t>
  </si>
  <si>
    <t>20-01</t>
  </si>
  <si>
    <t>20-02</t>
  </si>
  <si>
    <t>20-03</t>
  </si>
  <si>
    <t>20-04</t>
  </si>
  <si>
    <t>20-05</t>
  </si>
  <si>
    <t>20-06</t>
  </si>
  <si>
    <t>20-07</t>
  </si>
  <si>
    <t>20-08</t>
  </si>
  <si>
    <t>20-09</t>
  </si>
  <si>
    <t>20-10</t>
  </si>
  <si>
    <t>20-11</t>
  </si>
  <si>
    <t>20-12</t>
  </si>
  <si>
    <t>20-13</t>
  </si>
  <si>
    <t>20-14</t>
  </si>
  <si>
    <t>20-15</t>
  </si>
  <si>
    <t>20-16</t>
  </si>
  <si>
    <t>20-17</t>
  </si>
  <si>
    <t>~</t>
  </si>
  <si>
    <t>20-18</t>
  </si>
  <si>
    <t>20-19</t>
  </si>
  <si>
    <t>20-20</t>
  </si>
  <si>
    <t>20-21</t>
  </si>
  <si>
    <t>20-22</t>
  </si>
  <si>
    <t>20-23</t>
  </si>
  <si>
    <t>20-24</t>
  </si>
  <si>
    <t>20-25</t>
  </si>
  <si>
    <t>20-26</t>
  </si>
  <si>
    <t>20-27</t>
  </si>
  <si>
    <t>20-28</t>
  </si>
  <si>
    <t>20-29</t>
  </si>
  <si>
    <t>20-30</t>
  </si>
  <si>
    <t>20-31</t>
  </si>
  <si>
    <t>20-32</t>
  </si>
  <si>
    <t>20-33</t>
  </si>
  <si>
    <t>20-34</t>
  </si>
  <si>
    <t>20-35</t>
  </si>
  <si>
    <t>20-36</t>
  </si>
  <si>
    <t>20-37</t>
  </si>
  <si>
    <t>20-38</t>
  </si>
  <si>
    <t>20-39</t>
  </si>
  <si>
    <t>20-40</t>
  </si>
  <si>
    <t>20-41</t>
  </si>
  <si>
    <t>20-42</t>
  </si>
  <si>
    <t>20-43</t>
  </si>
  <si>
    <t>20-44</t>
  </si>
  <si>
    <t>20-45</t>
  </si>
  <si>
    <t>20-46</t>
  </si>
  <si>
    <t>20-47</t>
  </si>
  <si>
    <t>20-48</t>
  </si>
  <si>
    <t>20-49</t>
  </si>
  <si>
    <t>20-50</t>
  </si>
  <si>
    <t>Wooden Arrow Shaft Analysis — Batches 19 &amp; 20</t>
  </si>
  <si>
    <t>Assumptions / Inputs</t>
  </si>
  <si>
    <t>Spec spine min (lb)</t>
  </si>
  <si>
    <t>Spec spine max (lb)</t>
  </si>
  <si>
    <t>Max acceptable A–B spread (lb)</t>
  </si>
  <si>
    <t>Combined Shaft Data (all 100 shafts, linked to source tabs)</t>
  </si>
  <si>
    <t>Batch</t>
  </si>
  <si>
    <t>Avg spine (lb)</t>
  </si>
  <si>
    <t>A–B spread (lb)</t>
  </si>
  <si>
    <t>In spec?</t>
  </si>
  <si>
    <t>Consistent A/B?</t>
  </si>
  <si>
    <t>Sort key</t>
  </si>
  <si>
    <t>Rank</t>
  </si>
  <si>
    <t>Batch 19</t>
  </si>
  <si>
    <t>Batch 20</t>
  </si>
  <si>
    <t>QC Summary vs. Advertised Spine (55–60 lb)</t>
  </si>
  <si>
    <t>Spine metric</t>
  </si>
  <si>
    <t>Combined</t>
  </si>
  <si>
    <t>Shafts counted</t>
  </si>
  <si>
    <t>Min avg spine (lb)</t>
  </si>
  <si>
    <t>Max avg spine (lb)</t>
  </si>
  <si>
    <t>Mean avg spine (lb)</t>
  </si>
  <si>
    <t>Median avg spine (lb)</t>
  </si>
  <si>
    <t>Std dev of avg spine (lb)</t>
  </si>
  <si>
    <t>Mean A–B spread (lb)</t>
  </si>
  <si>
    <t>Max A–B spread (lb)</t>
  </si>
  <si>
    <t>Shafts with A–B spread &gt; tolerance</t>
  </si>
  <si>
    <t>% in spec</t>
  </si>
  <si>
    <t>Weight metric</t>
  </si>
  <si>
    <t>Min weight (g)</t>
  </si>
  <si>
    <t>Max weight (g)</t>
  </si>
  <si>
    <t>Mean weight (g)</t>
  </si>
  <si>
    <t>Median weight (g)</t>
  </si>
  <si>
    <t>Std dev weight (g)</t>
  </si>
  <si>
    <t>Range max−min (g)</t>
  </si>
  <si>
    <t>Shafts</t>
  </si>
  <si>
    <t>Min spine</t>
  </si>
  <si>
    <t>Max spine</t>
  </si>
  <si>
    <t>Spine spread</t>
  </si>
  <si>
    <t>Min wt (g)</t>
  </si>
  <si>
    <t>Max wt (g)</t>
  </si>
  <si>
    <t>Wt spread (g)</t>
  </si>
  <si>
    <t>All in spec?</t>
  </si>
  <si>
    <t>Avg Spine Distribution (1 lb bins)</t>
  </si>
  <si>
    <t>Bin (lb)</t>
  </si>
  <si>
    <t>Scatter source (spine vs. weight)</t>
  </si>
  <si>
    <t>Weight B19 (g)</t>
  </si>
  <si>
    <t>Weight B20 (g)</t>
  </si>
  <si>
    <t>Grouping Tolerances</t>
  </si>
  <si>
    <t>Max spine spread within group (lb)</t>
  </si>
  <si>
    <t>Max weight spread within group (g)</t>
  </si>
  <si>
    <t>Min shafts to call it a usable group</t>
  </si>
  <si>
    <t>Group ID</t>
  </si>
  <si>
    <t>Spine band (lb)</t>
  </si>
  <si>
    <t>Weight band (g)</t>
  </si>
  <si>
    <t>Group key</t>
  </si>
  <si>
    <t>Group size</t>
  </si>
  <si>
    <t>Caveat: fixed band edges can split two near-identical shafts (e.g. 22.98 g vs 23.02 g). Shift the band edges by changing the tolerances on ANALYSIS, or check neighbouring rows in the matrix below.</t>
  </si>
  <si>
    <t>Tolerances (set on ANALYSIS)</t>
  </si>
  <si>
    <t>Max spine spread (lb)</t>
  </si>
  <si>
    <t>Max weight spread (g)</t>
  </si>
  <si>
    <t>Min shafts to count as usable</t>
  </si>
  <si>
    <t>Group list (sorted largest first)</t>
  </si>
  <si>
    <t>ID</t>
  </si>
  <si>
    <t>Wt band (g)</t>
  </si>
  <si>
    <t>All in 55–60?</t>
  </si>
  <si>
    <t>Usable?</t>
  </si>
  <si>
    <t>Member shafts</t>
  </si>
  <si>
    <t>Distinct groups found</t>
  </si>
  <si>
    <t>Usable groups (≥ min size)</t>
  </si>
  <si>
    <t>Shafts inside usable groups</t>
  </si>
  <si>
    <t>Largest group (shafts)</t>
  </si>
  <si>
    <t>Usable groups fully in 55–60 lb</t>
  </si>
  <si>
    <t>Shafts in usable, in-spec groups</t>
  </si>
  <si>
    <t>Spine band \ Wt band</t>
  </si>
  <si>
    <t>Total</t>
  </si>
  <si>
    <t>MATRIX — SHAFT COUNT BY SPINE BAND × WEIGHT BAND</t>
  </si>
  <si>
    <t>Method: no fixed bands. Every shaft is tested as the corner of a window (spine lo → lo+tol, weight lo → lo+tol). The window holding the most shafts becomes Cluster 1; those shafts are removed and the search repeats. Clusters are therefore disjoint and found largest-first, so near-boundary shafts are no longer split off.</t>
  </si>
  <si>
    <t>Spine tolerance (lb)</t>
  </si>
  <si>
    <t>Weight tolerance (g)</t>
  </si>
  <si>
    <t>Shaft #</t>
  </si>
  <si>
    <t>Cluster #</t>
  </si>
  <si>
    <t>WORKING BLOCK — 100 shafts (columns R onward are the round-by-round search)</t>
  </si>
  <si>
    <t>cum0</t>
  </si>
  <si>
    <t>Round →</t>
  </si>
  <si>
    <t>Cluster size</t>
  </si>
  <si>
    <t>Anchor spine (lb)</t>
  </si>
  <si>
    <t>Anchor weight (g)</t>
  </si>
  <si>
    <t>Window count ↓</t>
  </si>
  <si>
    <t>Assigned flag ↓</t>
  </si>
  <si>
    <t>Cumulative assigned →</t>
  </si>
  <si>
    <t>CLUSTER SUMMARY — disjoint, largest first</t>
  </si>
  <si>
    <t>Min wt</t>
  </si>
  <si>
    <t>Max wt</t>
  </si>
  <si>
    <t>Wt spread</t>
  </si>
  <si>
    <t>Members</t>
  </si>
  <si>
    <t>Clusters with 3+ shafts</t>
  </si>
  <si>
    <t>Shafts in those clusters</t>
  </si>
  <si>
    <t>Largest cluster</t>
  </si>
  <si>
    <t>Shafts left over (after 15 rounds)</t>
  </si>
  <si>
    <t>In-spec clusters (3+ shafts)</t>
  </si>
  <si>
    <t>Shafts in in-spec clusters</t>
  </si>
  <si>
    <t>CALCULATION SPECIFICATION — Arrow Shaft Spine &amp; Weight Grouping</t>
  </si>
  <si>
    <t>Reference document for reimplementing this analysis as a web application. Mirrors the live formulas on the ANALYSIS, GROUPS and CLUSTERS tabs. Parameter values in column D are linked, so they always show what the workbook is currently using.</t>
  </si>
  <si>
    <t>1.  INPUTS</t>
  </si>
  <si>
    <t>Parameter</t>
  </si>
  <si>
    <t>Symbol</t>
  </si>
  <si>
    <t>Source cell</t>
  </si>
  <si>
    <t>Current</t>
  </si>
  <si>
    <t>Description</t>
  </si>
  <si>
    <t>Spine spec floor (lb)</t>
  </si>
  <si>
    <t>specMin</t>
  </si>
  <si>
    <t>ANALYSIS!B5</t>
  </si>
  <si>
    <t>Lower edge of the advertised spine range. Drives the in-spec flags only — it has no effect on grouping.</t>
  </si>
  <si>
    <t>Spine spec ceiling (lb)</t>
  </si>
  <si>
    <t>specMax</t>
  </si>
  <si>
    <t>ANALYSIS!B6</t>
  </si>
  <si>
    <t>Upper edge of the advertised spine range.</t>
  </si>
  <si>
    <t>Max A/B spine difference (lb)</t>
  </si>
  <si>
    <t>abTol</t>
  </si>
  <si>
    <t>ANALYSIS!B7</t>
  </si>
  <si>
    <t>A shaft whose two spine readings differ by more than this is flagged inconsistent — a quality signal, not a grouping input.</t>
  </si>
  <si>
    <t>Max spine spread in a group (lb)</t>
  </si>
  <si>
    <t>spineTol</t>
  </si>
  <si>
    <t>ANALYSIS!G5</t>
  </si>
  <si>
    <t>Grouping tolerance. Any two members of a group must be within this on average spine.</t>
  </si>
  <si>
    <t>Max weight spread in a group (g)</t>
  </si>
  <si>
    <t>weightTol</t>
  </si>
  <si>
    <t>ANALYSIS!G6</t>
  </si>
  <si>
    <t>Grouping tolerance. Any two members of a group must be within this on weight.</t>
  </si>
  <si>
    <t>Usable group threshold</t>
  </si>
  <si>
    <t>minGroupSize</t>
  </si>
  <si>
    <t>ANALYSIS!G7</t>
  </si>
  <si>
    <t>Minimum members before a group counts as usable in the summary tallies. Reporting only — the algorithms impose no size cap.</t>
  </si>
  <si>
    <t>Raw per-shaft record</t>
  </si>
  <si>
    <t>batch, shaftId, spineA, spineB, weight  — five fields, one row per shaft. Source data: 100 shafts across batches 19 and 20.</t>
  </si>
  <si>
    <t>2.  PER-SHAFT DERIVED FIELDS</t>
  </si>
  <si>
    <t>Field</t>
  </si>
  <si>
    <t>Definition</t>
  </si>
  <si>
    <t>avgSpine</t>
  </si>
  <si>
    <t>(spineA + spineB) / 2</t>
  </si>
  <si>
    <t>abSpread</t>
  </si>
  <si>
    <t>abs(spineA - spineB)</t>
  </si>
  <si>
    <t>inSpec</t>
  </si>
  <si>
    <t>specMin &lt;= avgSpine &lt;= specMax</t>
  </si>
  <si>
    <t>abConsistent</t>
  </si>
  <si>
    <t>abSpread &lt;= abTol</t>
  </si>
  <si>
    <t>3.  QC STATISTICS</t>
  </si>
  <si>
    <t>Computed per batch and combined</t>
  </si>
  <si>
    <t>Count; min / max / mean / median / sample standard deviation of avgSpine; mean and max abSpread; count where abSpread &gt; abTol; count inSpec; percent inSpec (= inSpec count / total); count where avgSpine &lt; specMin; count where avgSpine &gt; specMax.</t>
  </si>
  <si>
    <t>Weight statistics</t>
  </si>
  <si>
    <t>Count; min / max / mean / median / sample standard deviation of weight; range (= max - min).</t>
  </si>
  <si>
    <t>Current output</t>
  </si>
  <si>
    <t>75 of 100 shafts in spec (54–60 lb); 25 below floor; 0 above ceiling; mean spine 55.22 lb; weight 21.18–26.76 g; one shaft (20-50) fails the A/B consistency check at 2.0 lb.</t>
  </si>
  <si>
    <t>4.  DISTRIBUTION HISTOGRAM</t>
  </si>
  <si>
    <t>Binning rule</t>
  </si>
  <si>
    <t>Fixed 1 lb bins starting at floor(min(avgSpine)). A shaft falls in bin b when  b &lt;= avgSpine &lt; b + 1.  Counted separately per batch. Independent of spineTol — this is a display aid, not part of grouping.</t>
  </si>
  <si>
    <t>5.  GROUPING METHOD A — FIXED GRID</t>
  </si>
  <si>
    <t>Implemented on</t>
  </si>
  <si>
    <t>GROUPS tab. Fast, deterministic overview — but see the caveat below. Do not ship this as the primary algorithm.</t>
  </si>
  <si>
    <t>Band assignment</t>
  </si>
  <si>
    <t>spineBand  = floor(avgSpine / spineTol) * spineTol
weightBand = floor(weight    / weightTol) * weightTol
groupKey   = (spineBand, weightBand)</t>
  </si>
  <si>
    <t>Group definition</t>
  </si>
  <si>
    <t>A group is every shaft sharing a groupKey. Because all members sit inside one half-open band of width spineTol × weightTol, the in-group spread is guaranteed below tolerance. No size cap.</t>
  </si>
  <si>
    <t>Ordering</t>
  </si>
  <si>
    <t>Sort groups by member count descending, then by groupKey ascending as a stable tie-break.</t>
  </si>
  <si>
    <t>Cross-tab</t>
  </si>
  <si>
    <t>Count of shafts by spineBand (rows) × weightBand (columns). Row and column totals must reconcile to the shaft count.</t>
  </si>
  <si>
    <t>⚠  Known flaw</t>
  </si>
  <si>
    <t>Band edges are arbitrary. Two shafts 0.2 g apart land in different groups if a boundary falls between them, so the method systematically under-reports the best groups. Observed case: shafts 19-28 (23.49 g), 19-35 (23.47 g) and 19-43 (23.38 g) were split away from a group whose lightest member was 23.71 g — all three are within the 0.5 g tolerance of it. The grid reported 10 shafts where the true cluster held 13–14.</t>
  </si>
  <si>
    <t>6.  GROUPING METHOD B — SLIDING-WINDOW GREEDY CLUSTERING</t>
  </si>
  <si>
    <t>CLUSTERS tab. This is the method to build on. No fixed bands — windows slide to the data.</t>
  </si>
  <si>
    <t>Algorithm</t>
  </si>
  <si>
    <t>unassigned = all shafts
clusters   = []
repeat until unassigned is empty (or a round cap is reached):
    best = null
    for each shaft i in unassigned:
        window_i = { j in unassigned :
                         spine_i  &lt;= avgSpine_j &lt;= spine_i  + spineTol
                     AND weight_i &lt;=   weight_j &lt;= weight_i + weightTol }
        if size(window_i) &gt; size(best):
            best = window_i          # ties resolve to lowest shaftId
    clusters.append(best)
    unassigned = unassigned - best</t>
  </si>
  <si>
    <t>Correctness guarantee</t>
  </si>
  <si>
    <t>Every member lies inside [anchor, anchor + tol] on both axes, so spineSpread &lt;= spineTol and weightSpread &lt;= weightTol hold by construction. Verified on all 15 clusters produced by the workbook.</t>
  </si>
  <si>
    <t>Per-cluster outputs</t>
  </si>
  <si>
    <t>size, minSpine, maxSpine, spineSpread, minWeight, maxWeight, weightSpread, member list, and allInSpec = (minSpine &gt;= specMin AND maxSpine &lt;= specMax).</t>
  </si>
  <si>
    <t>Spreadsheet round cap</t>
  </si>
  <si>
    <t>The workbook runs a fixed 15 rounds because formulas cannot loop; that placed 85 of 100 shafts, leaving 15 as 1–2 shaft remnants. In code, run to exhaustion instead — there is no reason to cap it.</t>
  </si>
  <si>
    <t>15 clusters. Largest holds 14 shafts (spine 55.0–57.5 lb, weight 23.85–24.35 g, fully in spec). 12 clusters have 3+ members covering 79 shafts; 7 of those are fully in spec covering 43 shafts.</t>
  </si>
  <si>
    <t>7.  TWO HEURISTICS TO FIX IN CODE</t>
  </si>
  <si>
    <t>Why they exist</t>
  </si>
  <si>
    <t>The spreadsheet tolerates both compromises because cell formulas cannot iterate or backtrack. A web application has no such excuse — fix both.</t>
  </si>
  <si>
    <t>(a) Anchoring is approximate</t>
  </si>
  <si>
    <t>Each candidate window is anchored at a single shaft — that shaft's spine becomes the window's spine floor AND its weight becomes the weight floor. The true optimum may need the spine floor from shaft a and the weight floor from a different shaft b, so the current search can miss the largest window.</t>
  </si>
  <si>
    <t xml:space="preserve">     Exact replacement</t>
  </si>
  <si>
    <t>candidates = { (spine_a, weight_b) for all a, b in unassigned }   # O(n²) windows
score each candidate by its membership count            # O(n³) worst case
# At n = 100 that is ~10^6 operations — effectively instant.</t>
  </si>
  <si>
    <t>(b) Greedy is not optimal</t>
  </si>
  <si>
    <t>Largest-first is a heuristic, not a guarantee. Taking the biggest cluster first can destroy a better overall partition. Decide the real objective before building: 'find the single biggest matched set' and 'maximise the number of complete dozens' are different problems with different answers.</t>
  </si>
  <si>
    <t xml:space="preserve">     If the goal is dozens</t>
  </si>
  <si>
    <t>Score candidate windows by floor(size / 12) first and raw size second, or run a proper set-partition / integer-programming search. At n = 100 an exact solver is entirely feasible.</t>
  </si>
  <si>
    <t>8.  DATA-QUALITY NOTES</t>
  </si>
  <si>
    <t>Two readings per shaft</t>
  </si>
  <si>
    <t>avgSpine is the mean of just two measurements. Real spine testers vary with shaft rotation, so two readings under-sample the true stiffness. Consider capturing three or more readings per shaft in the application and retaining the spread as a quality signal — abSpread already serves this role.</t>
  </si>
  <si>
    <t>Spine measurement grain</t>
  </si>
  <si>
    <t>Source spine values are recorded to 0.5 lb, so avgSpine falls on 0.25 lb steps. Weight is recorded to 0.01 g. Tolerances finer than these grains will produce misleading precision.</t>
  </si>
  <si>
    <t>Units</t>
  </si>
  <si>
    <t>Spine in pounds (lb), weight in grams (g). Both are carried in headers throughout the workbook; keep units explicit in any API contract.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</si>
</sst>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%"/>
    <numFmt numFmtId="167" formatCode="0;;&quot;–&quot;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  <family val="2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8000"/>
      <name val="Aptos Narrow"/>
      <family val="2"/>
      <scheme val="minor"/>
    </font>
    <font>
      <b/>
      <sz val="12"/>
      <color rgb="FF1F3864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b/>
      <sz val="11"/>
      <color rgb="FF7F7F7F"/>
      <name val="Aptos Narrow"/>
      <family val="2"/>
      <scheme val="minor"/>
    </font>
    <font>
      <sz val="11"/>
      <color theme="1"/>
      <name val="Consolas"/>
    </font>
    <font>
      <sz val="11"/>
      <color rgb="FFC00000"/>
      <name val="Aptos Narrow"/>
      <family val="2"/>
      <scheme val="minor"/>
    </font>
    <font>
      <b/>
      <sz val="15"/>
      <color rgb="FF1F3864"/>
      <name val="Calibri"/>
    </font>
    <font>
      <i/>
      <sz val="11"/>
      <color rgb="FF595959"/>
      <name val="Calibri"/>
    </font>
    <font>
      <sz val="11"/>
      <color theme="1"/>
      <name val="Calibri"/>
    </font>
    <font>
      <b/>
      <sz val="12"/>
      <color rgb="FFFFFFFF"/>
      <name val="Calibri"/>
    </font>
    <font>
      <b/>
      <sz val="11"/>
      <color theme="1"/>
      <name val="Calibri"/>
    </font>
    <font>
      <b/>
      <sz val="11"/>
      <color rgb="FFC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E1F2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C00000"/>
        <bgColor indexed="64"/>
      </patternFill>
    </fill>
  </fills>
  <borders count="1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0">
    <xf numFmtId="0" fontId="0" fillId="0" borderId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Fill="0" applyBorder="0" applyProtection="0"/>
    <xf numFmtId="0" fontId="8" fillId="0" borderId="0" applyNumberFormat="0" applyFill="0" applyBorder="0" applyProtection="0"/>
    <xf numFmtId="0" fontId="11" fillId="0" borderId="0" applyNumberFormat="0" applyFill="0" applyBorder="0" applyProtection="0"/>
    <xf numFmtId="0" fontId="14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89">
    <xf numFmtId="0" fontId="0" fillId="0" borderId="0" xfId="0"/>
    <xf numFmtId="0" fontId="15" fillId="0" borderId="0" xfId="0" applyFont="1"/>
    <xf numFmtId="0" fontId="16" fillId="0" borderId="0" xfId="0" applyFont="1"/>
    <xf numFmtId="0" fontId="2" fillId="0" borderId="0" xfId="0" applyFont="1"/>
    <xf numFmtId="0" fontId="2" fillId="9" borderId="0" xfId="0" applyFont="1" applyFill="1"/>
    <xf numFmtId="0" fontId="0" fillId="9" borderId="0" xfId="0" applyFill="1"/>
    <xf numFmtId="164" fontId="17" fillId="0" borderId="0" xfId="0" applyNumberFormat="1" applyFont="1"/>
    <xf numFmtId="1" fontId="17" fillId="0" borderId="0" xfId="0" applyNumberFormat="1" applyFont="1"/>
    <xf numFmtId="0" fontId="10" fillId="0" borderId="0" xfId="0" applyFont="1"/>
    <xf numFmtId="0" fontId="2" fillId="9" borderId="0" xfId="0" applyFont="1" applyFill="1" applyAlignment="1">
      <alignment horizontal="center"/>
    </xf>
    <xf numFmtId="0" fontId="20" fillId="0" borderId="0" xfId="0" applyFont="1"/>
    <xf numFmtId="164" fontId="20" fillId="0" borderId="0" xfId="0" applyNumberFormat="1" applyFont="1"/>
    <xf numFmtId="2" fontId="0" fillId="0" borderId="0" xfId="0" applyNumberFormat="1"/>
    <xf numFmtId="164" fontId="0" fillId="0" borderId="0" xfId="0" applyNumberFormat="1"/>
    <xf numFmtId="2" fontId="20" fillId="0" borderId="0" xfId="0" applyNumberFormat="1" applyFont="1"/>
    <xf numFmtId="0" fontId="0" fillId="0" borderId="0" xfId="0" applyAlignment="1">
      <alignment horizontal="center"/>
    </xf>
    <xf numFmtId="165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66" fontId="0" fillId="0" borderId="0" xfId="0" applyNumberFormat="1"/>
    <xf numFmtId="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6" fontId="2" fillId="0" borderId="0" xfId="0" applyNumberFormat="1" applyFont="1"/>
    <xf numFmtId="1" fontId="17" fillId="0" borderId="0" xfId="0" applyNumberFormat="1" applyFont="1" applyAlignment="1">
      <alignment horizontal="center"/>
    </xf>
    <xf numFmtId="1" fontId="20" fillId="0" borderId="0" xfId="0" applyNumberFormat="1" applyFont="1"/>
    <xf numFmtId="1" fontId="20" fillId="0" borderId="0" xfId="0" applyNumberFormat="1" applyFont="1" applyAlignment="1">
      <alignment horizontal="center"/>
    </xf>
    <xf numFmtId="0" fontId="21" fillId="0" borderId="0" xfId="0" applyFont="1"/>
    <xf numFmtId="0" fontId="21" fillId="0" borderId="5" xfId="0" applyFont="1" applyBorder="1"/>
    <xf numFmtId="0" fontId="0" fillId="0" borderId="6" xfId="0" applyBorder="1"/>
    <xf numFmtId="0" fontId="0" fillId="0" borderId="7" xfId="0" applyBorder="1"/>
    <xf numFmtId="0" fontId="3" fillId="10" borderId="8" xfId="0" applyFont="1" applyFill="1" applyBorder="1" applyAlignment="1">
      <alignment horizontal="left"/>
    </xf>
    <xf numFmtId="164" fontId="3" fillId="10" borderId="9" xfId="0" applyNumberFormat="1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164" fontId="2" fillId="0" borderId="8" xfId="0" applyNumberFormat="1" applyFont="1" applyBorder="1"/>
    <xf numFmtId="167" fontId="0" fillId="0" borderId="9" xfId="0" applyNumberFormat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0" fontId="2" fillId="0" borderId="11" xfId="0" applyFont="1" applyBorder="1"/>
    <xf numFmtId="167" fontId="2" fillId="0" borderId="12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0" fontId="22" fillId="0" borderId="0" xfId="0" applyFont="1"/>
    <xf numFmtId="0" fontId="0" fillId="0" borderId="3" xfId="0" applyBorder="1"/>
    <xf numFmtId="0" fontId="0" fillId="0" borderId="4" xfId="0" applyBorder="1"/>
    <xf numFmtId="0" fontId="3" fillId="10" borderId="5" xfId="0" applyFont="1" applyFill="1" applyBorder="1"/>
    <xf numFmtId="0" fontId="3" fillId="10" borderId="6" xfId="0" applyFont="1" applyFill="1" applyBorder="1"/>
    <xf numFmtId="0" fontId="3" fillId="10" borderId="7" xfId="0" applyFont="1" applyFill="1" applyBorder="1"/>
    <xf numFmtId="0" fontId="2" fillId="0" borderId="8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2" fontId="0" fillId="0" borderId="9" xfId="0" applyNumberFormat="1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2" fillId="9" borderId="2" xfId="0" applyFont="1" applyFill="1" applyBorder="1"/>
    <xf numFmtId="0" fontId="2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24" fillId="0" borderId="0" xfId="0" applyFont="1" applyAlignment="1">
      <alignment vertical="top" wrapText="1"/>
    </xf>
    <xf numFmtId="0" fontId="25" fillId="0" borderId="0" xfId="0" applyFont="1" applyAlignment="1">
      <alignment vertical="top" wrapText="1"/>
    </xf>
    <xf numFmtId="0" fontId="2" fillId="9" borderId="2" xfId="0" applyFont="1" applyFill="1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2" fillId="9" borderId="6" xfId="0" applyFont="1" applyFill="1" applyBorder="1" applyAlignment="1">
      <alignment vertical="top"/>
    </xf>
    <xf numFmtId="0" fontId="2" fillId="9" borderId="6" xfId="0" applyFont="1" applyFill="1" applyBorder="1" applyAlignment="1">
      <alignment horizontal="center" vertical="top"/>
    </xf>
    <xf numFmtId="0" fontId="2" fillId="9" borderId="7" xfId="0" applyFont="1" applyFill="1" applyBorder="1" applyAlignment="1">
      <alignment vertical="top" wrapText="1"/>
    </xf>
    <xf numFmtId="0" fontId="0" fillId="0" borderId="9" xfId="0" applyBorder="1" applyAlignment="1">
      <alignment vertical="top"/>
    </xf>
    <xf numFmtId="164" fontId="20" fillId="0" borderId="9" xfId="0" applyNumberFormat="1" applyFont="1" applyBorder="1" applyAlignment="1">
      <alignment horizontal="center" vertical="top"/>
    </xf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/>
    </xf>
    <xf numFmtId="1" fontId="20" fillId="0" borderId="12" xfId="0" applyNumberFormat="1" applyFont="1" applyBorder="1" applyAlignment="1">
      <alignment horizontal="center" vertical="top"/>
    </xf>
    <xf numFmtId="0" fontId="0" fillId="0" borderId="13" xfId="0" applyBorder="1" applyAlignment="1">
      <alignment vertical="top" wrapText="1"/>
    </xf>
    <xf numFmtId="0" fontId="0" fillId="0" borderId="2" xfId="0" applyBorder="1" applyAlignment="1">
      <alignment vertical="top"/>
    </xf>
    <xf numFmtId="0" fontId="24" fillId="0" borderId="3" xfId="0" applyFont="1" applyBorder="1" applyAlignment="1">
      <alignment vertical="top" wrapText="1"/>
    </xf>
    <xf numFmtId="0" fontId="24" fillId="0" borderId="4" xfId="0" applyFont="1" applyBorder="1" applyAlignment="1">
      <alignment vertical="top" wrapText="1"/>
    </xf>
    <xf numFmtId="0" fontId="3" fillId="10" borderId="0" xfId="0" applyFont="1" applyFill="1" applyAlignment="1">
      <alignment vertical="top"/>
    </xf>
    <xf numFmtId="0" fontId="3" fillId="10" borderId="0" xfId="0" applyFont="1" applyFill="1" applyAlignment="1">
      <alignment vertical="top" wrapText="1"/>
    </xf>
    <xf numFmtId="0" fontId="3" fillId="11" borderId="0" xfId="0" applyFont="1" applyFill="1" applyAlignment="1">
      <alignment vertical="top"/>
    </xf>
    <xf numFmtId="0" fontId="3" fillId="11" borderId="0" xfId="0" applyFont="1" applyFill="1" applyAlignment="1">
      <alignment vertical="top" wrapText="1"/>
    </xf>
    <xf numFmtId="0" fontId="26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9" fillId="10" borderId="0" xfId="0" applyFont="1" applyFill="1" applyAlignment="1">
      <alignment vertical="top"/>
    </xf>
    <xf numFmtId="0" fontId="30" fillId="9" borderId="5" xfId="0" applyFont="1" applyFill="1" applyBorder="1" applyAlignment="1">
      <alignment vertical="top"/>
    </xf>
    <xf numFmtId="0" fontId="28" fillId="0" borderId="8" xfId="0" applyFont="1" applyBorder="1" applyAlignment="1">
      <alignment vertical="top"/>
    </xf>
    <xf numFmtId="0" fontId="28" fillId="0" borderId="11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9" borderId="2" xfId="0" applyFont="1" applyFill="1" applyBorder="1" applyAlignment="1">
      <alignment vertical="top"/>
    </xf>
    <xf numFmtId="0" fontId="28" fillId="0" borderId="3" xfId="0" applyFont="1" applyBorder="1" applyAlignment="1">
      <alignment vertical="top"/>
    </xf>
    <xf numFmtId="0" fontId="28" fillId="0" borderId="4" xfId="0" applyFont="1" applyBorder="1" applyAlignment="1">
      <alignment vertical="top"/>
    </xf>
    <xf numFmtId="0" fontId="31" fillId="0" borderId="0" xfId="0" applyFont="1" applyAlignment="1">
      <alignment vertical="top"/>
    </xf>
    <xf numFmtId="0" fontId="29" fillId="11" borderId="0" xfId="0" applyFont="1" applyFill="1" applyAlignment="1">
      <alignment vertical="top"/>
    </xf>
  </cellXfs>
  <cellStyles count="20">
    <cellStyle name="Accent" xfId="7" xr:uid="{5470381E-FCCD-4F67-B1D0-67ECE116C284}"/>
    <cellStyle name="Accent 1" xfId="8" xr:uid="{1EC58ABA-274C-4ACD-A7A2-0B036AD7DE4F}"/>
    <cellStyle name="Accent 2" xfId="9" xr:uid="{F368F9CF-0101-4129-BD6D-3FE99860DD48}"/>
    <cellStyle name="Accent 3" xfId="10" xr:uid="{8BF2B54E-9760-484F-9221-42C6654519A2}"/>
    <cellStyle name="Bad" xfId="4" builtinId="27" customBuiltin="1"/>
    <cellStyle name="Default" xfId="11" xr:uid="{C712EAA0-E6FD-4044-9C10-2DC78209AFB5}"/>
    <cellStyle name="Error" xfId="12" xr:uid="{10F54967-2DDF-44A5-A3B5-52BA8C1D77A3}"/>
    <cellStyle name="Footnote" xfId="13" xr:uid="{A9442FB9-64FC-4EF3-99E7-BF399E9B5625}"/>
    <cellStyle name="Good" xfId="3" builtinId="26" customBuiltin="1"/>
    <cellStyle name="Heading" xfId="14" xr:uid="{A9A62EE9-8D7C-44AF-8D9A-D883029B0203}"/>
    <cellStyle name="Heading 1" xfId="1" builtinId="16" customBuiltin="1"/>
    <cellStyle name="Heading 2" xfId="2" builtinId="17" customBuiltin="1"/>
    <cellStyle name="Hyperlink" xfId="15" xr:uid="{807BB294-49FF-4C63-B001-896D02F5D6CD}"/>
    <cellStyle name="Neutral" xfId="5" builtinId="28" customBuiltin="1"/>
    <cellStyle name="Normal" xfId="0" builtinId="0" customBuiltin="1"/>
    <cellStyle name="Note" xfId="6" builtinId="10" customBuiltin="1"/>
    <cellStyle name="Result" xfId="16" xr:uid="{DA3D4AC7-741C-4669-B15E-516BC3A01F5D}"/>
    <cellStyle name="Status" xfId="17" xr:uid="{605B3116-0FAC-4769-A51E-7A0074EB218E}"/>
    <cellStyle name="Text" xfId="18" xr:uid="{65FFBAC2-3B33-4568-8639-962C06549D9D}"/>
    <cellStyle name="Warning" xfId="19" xr:uid="{9198754C-1DE4-4BF8-BD2A-F20E88C68918}"/>
  </cellStyles>
  <dxfs count="7"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Spine vs. Weight by Batch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ANALYSIS!$Z$30</c:f>
              <c:strCache>
                <c:ptCount val="1"/>
                <c:pt idx="0">
                  <c:v>Weight B19 (g)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ANALYSIS!$Y$31:$Y$130</c:f>
              <c:numCache>
                <c:formatCode>0.00</c:formatCode>
                <c:ptCount val="100"/>
                <c:pt idx="0">
                  <c:v>55.5</c:v>
                </c:pt>
                <c:pt idx="1">
                  <c:v>58</c:v>
                </c:pt>
                <c:pt idx="2">
                  <c:v>52</c:v>
                </c:pt>
                <c:pt idx="3">
                  <c:v>55</c:v>
                </c:pt>
                <c:pt idx="4">
                  <c:v>56</c:v>
                </c:pt>
                <c:pt idx="5">
                  <c:v>55</c:v>
                </c:pt>
                <c:pt idx="6">
                  <c:v>52</c:v>
                </c:pt>
                <c:pt idx="7">
                  <c:v>53</c:v>
                </c:pt>
                <c:pt idx="8">
                  <c:v>50</c:v>
                </c:pt>
                <c:pt idx="9">
                  <c:v>56</c:v>
                </c:pt>
                <c:pt idx="10">
                  <c:v>52</c:v>
                </c:pt>
                <c:pt idx="11">
                  <c:v>57.5</c:v>
                </c:pt>
                <c:pt idx="12">
                  <c:v>53</c:v>
                </c:pt>
                <c:pt idx="13">
                  <c:v>55.5</c:v>
                </c:pt>
                <c:pt idx="14">
                  <c:v>56</c:v>
                </c:pt>
                <c:pt idx="15">
                  <c:v>56</c:v>
                </c:pt>
                <c:pt idx="16">
                  <c:v>56.5</c:v>
                </c:pt>
                <c:pt idx="17">
                  <c:v>52</c:v>
                </c:pt>
                <c:pt idx="18">
                  <c:v>55.5</c:v>
                </c:pt>
                <c:pt idx="19">
                  <c:v>55</c:v>
                </c:pt>
                <c:pt idx="20">
                  <c:v>56</c:v>
                </c:pt>
                <c:pt idx="21">
                  <c:v>55.5</c:v>
                </c:pt>
                <c:pt idx="22">
                  <c:v>55</c:v>
                </c:pt>
                <c:pt idx="23">
                  <c:v>59</c:v>
                </c:pt>
                <c:pt idx="24">
                  <c:v>57.5</c:v>
                </c:pt>
                <c:pt idx="25">
                  <c:v>51</c:v>
                </c:pt>
                <c:pt idx="26">
                  <c:v>59</c:v>
                </c:pt>
                <c:pt idx="27">
                  <c:v>54</c:v>
                </c:pt>
                <c:pt idx="28">
                  <c:v>58</c:v>
                </c:pt>
                <c:pt idx="29">
                  <c:v>58.5</c:v>
                </c:pt>
                <c:pt idx="30">
                  <c:v>55.5</c:v>
                </c:pt>
                <c:pt idx="31">
                  <c:v>57</c:v>
                </c:pt>
                <c:pt idx="32">
                  <c:v>58</c:v>
                </c:pt>
                <c:pt idx="33">
                  <c:v>56</c:v>
                </c:pt>
                <c:pt idx="34">
                  <c:v>54</c:v>
                </c:pt>
                <c:pt idx="35">
                  <c:v>57</c:v>
                </c:pt>
                <c:pt idx="36">
                  <c:v>59</c:v>
                </c:pt>
                <c:pt idx="37">
                  <c:v>53</c:v>
                </c:pt>
                <c:pt idx="38">
                  <c:v>55</c:v>
                </c:pt>
                <c:pt idx="39">
                  <c:v>52</c:v>
                </c:pt>
                <c:pt idx="40">
                  <c:v>53</c:v>
                </c:pt>
                <c:pt idx="41">
                  <c:v>55.5</c:v>
                </c:pt>
                <c:pt idx="42">
                  <c:v>54.5</c:v>
                </c:pt>
                <c:pt idx="43">
                  <c:v>53</c:v>
                </c:pt>
                <c:pt idx="44">
                  <c:v>55</c:v>
                </c:pt>
                <c:pt idx="45">
                  <c:v>56.5</c:v>
                </c:pt>
                <c:pt idx="46">
                  <c:v>58</c:v>
                </c:pt>
                <c:pt idx="47">
                  <c:v>52</c:v>
                </c:pt>
                <c:pt idx="48">
                  <c:v>55</c:v>
                </c:pt>
                <c:pt idx="49">
                  <c:v>56</c:v>
                </c:pt>
                <c:pt idx="50">
                  <c:v>55.5</c:v>
                </c:pt>
                <c:pt idx="51">
                  <c:v>53</c:v>
                </c:pt>
                <c:pt idx="52">
                  <c:v>55</c:v>
                </c:pt>
                <c:pt idx="53">
                  <c:v>58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57</c:v>
                </c:pt>
                <c:pt idx="58">
                  <c:v>56</c:v>
                </c:pt>
                <c:pt idx="59">
                  <c:v>56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53</c:v>
                </c:pt>
                <c:pt idx="64">
                  <c:v>57</c:v>
                </c:pt>
                <c:pt idx="65">
                  <c:v>55</c:v>
                </c:pt>
                <c:pt idx="66">
                  <c:v>53</c:v>
                </c:pt>
                <c:pt idx="67">
                  <c:v>56</c:v>
                </c:pt>
                <c:pt idx="68">
                  <c:v>58</c:v>
                </c:pt>
                <c:pt idx="69">
                  <c:v>52.5</c:v>
                </c:pt>
                <c:pt idx="70">
                  <c:v>55</c:v>
                </c:pt>
                <c:pt idx="71">
                  <c:v>56</c:v>
                </c:pt>
                <c:pt idx="72">
                  <c:v>55</c:v>
                </c:pt>
                <c:pt idx="73">
                  <c:v>58.5</c:v>
                </c:pt>
                <c:pt idx="74">
                  <c:v>56</c:v>
                </c:pt>
                <c:pt idx="75">
                  <c:v>55</c:v>
                </c:pt>
                <c:pt idx="76">
                  <c:v>55.5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53</c:v>
                </c:pt>
                <c:pt idx="81">
                  <c:v>52.5</c:v>
                </c:pt>
                <c:pt idx="82">
                  <c:v>55</c:v>
                </c:pt>
                <c:pt idx="83">
                  <c:v>58.5</c:v>
                </c:pt>
                <c:pt idx="84">
                  <c:v>56</c:v>
                </c:pt>
                <c:pt idx="85">
                  <c:v>55</c:v>
                </c:pt>
                <c:pt idx="86">
                  <c:v>54.5</c:v>
                </c:pt>
                <c:pt idx="87">
                  <c:v>58</c:v>
                </c:pt>
                <c:pt idx="88">
                  <c:v>51.5</c:v>
                </c:pt>
                <c:pt idx="89">
                  <c:v>51</c:v>
                </c:pt>
                <c:pt idx="90">
                  <c:v>58</c:v>
                </c:pt>
                <c:pt idx="91">
                  <c:v>52</c:v>
                </c:pt>
                <c:pt idx="92">
                  <c:v>53</c:v>
                </c:pt>
                <c:pt idx="93">
                  <c:v>55</c:v>
                </c:pt>
                <c:pt idx="94">
                  <c:v>55.5</c:v>
                </c:pt>
                <c:pt idx="95">
                  <c:v>58</c:v>
                </c:pt>
                <c:pt idx="96">
                  <c:v>53.5</c:v>
                </c:pt>
                <c:pt idx="97">
                  <c:v>57.5</c:v>
                </c:pt>
                <c:pt idx="98">
                  <c:v>53.5</c:v>
                </c:pt>
                <c:pt idx="99">
                  <c:v>57</c:v>
                </c:pt>
              </c:numCache>
            </c:numRef>
          </c:xVal>
          <c:yVal>
            <c:numRef>
              <c:f>ANALYSIS!$Z$31:$Z$130</c:f>
              <c:numCache>
                <c:formatCode>0.00</c:formatCode>
                <c:ptCount val="100"/>
                <c:pt idx="0">
                  <c:v>23.23</c:v>
                </c:pt>
                <c:pt idx="1">
                  <c:v>24.7</c:v>
                </c:pt>
                <c:pt idx="2">
                  <c:v>22.19</c:v>
                </c:pt>
                <c:pt idx="3">
                  <c:v>24.03</c:v>
                </c:pt>
                <c:pt idx="4">
                  <c:v>21.93</c:v>
                </c:pt>
                <c:pt idx="5">
                  <c:v>23.85</c:v>
                </c:pt>
                <c:pt idx="6">
                  <c:v>21.59</c:v>
                </c:pt>
                <c:pt idx="7">
                  <c:v>21.54</c:v>
                </c:pt>
                <c:pt idx="8">
                  <c:v>22.67</c:v>
                </c:pt>
                <c:pt idx="9">
                  <c:v>24.67</c:v>
                </c:pt>
                <c:pt idx="10">
                  <c:v>23.14</c:v>
                </c:pt>
                <c:pt idx="11">
                  <c:v>24.3</c:v>
                </c:pt>
                <c:pt idx="12">
                  <c:v>21.49</c:v>
                </c:pt>
                <c:pt idx="13">
                  <c:v>23.4</c:v>
                </c:pt>
                <c:pt idx="14">
                  <c:v>23.44</c:v>
                </c:pt>
                <c:pt idx="15">
                  <c:v>21.93</c:v>
                </c:pt>
                <c:pt idx="16">
                  <c:v>25.22</c:v>
                </c:pt>
                <c:pt idx="17">
                  <c:v>21.66</c:v>
                </c:pt>
                <c:pt idx="18">
                  <c:v>21.7</c:v>
                </c:pt>
                <c:pt idx="19">
                  <c:v>22.98</c:v>
                </c:pt>
                <c:pt idx="20">
                  <c:v>25.62</c:v>
                </c:pt>
                <c:pt idx="21">
                  <c:v>23.25</c:v>
                </c:pt>
                <c:pt idx="22">
                  <c:v>25.09</c:v>
                </c:pt>
                <c:pt idx="23">
                  <c:v>23.29</c:v>
                </c:pt>
                <c:pt idx="24">
                  <c:v>24.15</c:v>
                </c:pt>
                <c:pt idx="25">
                  <c:v>25.82</c:v>
                </c:pt>
                <c:pt idx="26">
                  <c:v>26.03</c:v>
                </c:pt>
                <c:pt idx="27">
                  <c:v>23.49</c:v>
                </c:pt>
                <c:pt idx="28">
                  <c:v>26.76</c:v>
                </c:pt>
                <c:pt idx="29">
                  <c:v>25.48</c:v>
                </c:pt>
                <c:pt idx="30">
                  <c:v>25.52</c:v>
                </c:pt>
                <c:pt idx="31">
                  <c:v>22.86</c:v>
                </c:pt>
                <c:pt idx="32">
                  <c:v>23.24</c:v>
                </c:pt>
                <c:pt idx="33">
                  <c:v>22.34</c:v>
                </c:pt>
                <c:pt idx="34">
                  <c:v>23.47</c:v>
                </c:pt>
                <c:pt idx="35">
                  <c:v>23.44</c:v>
                </c:pt>
                <c:pt idx="36">
                  <c:v>23.96</c:v>
                </c:pt>
                <c:pt idx="37">
                  <c:v>23.76</c:v>
                </c:pt>
                <c:pt idx="38">
                  <c:v>21.18</c:v>
                </c:pt>
                <c:pt idx="39">
                  <c:v>23.46</c:v>
                </c:pt>
                <c:pt idx="40">
                  <c:v>22.5</c:v>
                </c:pt>
                <c:pt idx="41">
                  <c:v>25.88</c:v>
                </c:pt>
                <c:pt idx="42">
                  <c:v>23.38</c:v>
                </c:pt>
                <c:pt idx="43">
                  <c:v>21.81</c:v>
                </c:pt>
                <c:pt idx="44">
                  <c:v>23.85</c:v>
                </c:pt>
                <c:pt idx="45">
                  <c:v>24.12</c:v>
                </c:pt>
                <c:pt idx="46">
                  <c:v>24.94</c:v>
                </c:pt>
                <c:pt idx="47">
                  <c:v>23.02</c:v>
                </c:pt>
                <c:pt idx="48">
                  <c:v>25.9</c:v>
                </c:pt>
                <c:pt idx="49">
                  <c:v>25.15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54-49E6-9EF0-F94E35B81395}"/>
            </c:ext>
          </c:extLst>
        </c:ser>
        <c:ser>
          <c:idx val="1"/>
          <c:order val="1"/>
          <c:tx>
            <c:strRef>
              <c:f>ANALYSIS!$AA$30</c:f>
              <c:strCache>
                <c:ptCount val="1"/>
                <c:pt idx="0">
                  <c:v>Weight B20 (g)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ANALYSIS!$Y$31:$Y$130</c:f>
              <c:numCache>
                <c:formatCode>0.00</c:formatCode>
                <c:ptCount val="100"/>
                <c:pt idx="0">
                  <c:v>55.5</c:v>
                </c:pt>
                <c:pt idx="1">
                  <c:v>58</c:v>
                </c:pt>
                <c:pt idx="2">
                  <c:v>52</c:v>
                </c:pt>
                <c:pt idx="3">
                  <c:v>55</c:v>
                </c:pt>
                <c:pt idx="4">
                  <c:v>56</c:v>
                </c:pt>
                <c:pt idx="5">
                  <c:v>55</c:v>
                </c:pt>
                <c:pt idx="6">
                  <c:v>52</c:v>
                </c:pt>
                <c:pt idx="7">
                  <c:v>53</c:v>
                </c:pt>
                <c:pt idx="8">
                  <c:v>50</c:v>
                </c:pt>
                <c:pt idx="9">
                  <c:v>56</c:v>
                </c:pt>
                <c:pt idx="10">
                  <c:v>52</c:v>
                </c:pt>
                <c:pt idx="11">
                  <c:v>57.5</c:v>
                </c:pt>
                <c:pt idx="12">
                  <c:v>53</c:v>
                </c:pt>
                <c:pt idx="13">
                  <c:v>55.5</c:v>
                </c:pt>
                <c:pt idx="14">
                  <c:v>56</c:v>
                </c:pt>
                <c:pt idx="15">
                  <c:v>56</c:v>
                </c:pt>
                <c:pt idx="16">
                  <c:v>56.5</c:v>
                </c:pt>
                <c:pt idx="17">
                  <c:v>52</c:v>
                </c:pt>
                <c:pt idx="18">
                  <c:v>55.5</c:v>
                </c:pt>
                <c:pt idx="19">
                  <c:v>55</c:v>
                </c:pt>
                <c:pt idx="20">
                  <c:v>56</c:v>
                </c:pt>
                <c:pt idx="21">
                  <c:v>55.5</c:v>
                </c:pt>
                <c:pt idx="22">
                  <c:v>55</c:v>
                </c:pt>
                <c:pt idx="23">
                  <c:v>59</c:v>
                </c:pt>
                <c:pt idx="24">
                  <c:v>57.5</c:v>
                </c:pt>
                <c:pt idx="25">
                  <c:v>51</c:v>
                </c:pt>
                <c:pt idx="26">
                  <c:v>59</c:v>
                </c:pt>
                <c:pt idx="27">
                  <c:v>54</c:v>
                </c:pt>
                <c:pt idx="28">
                  <c:v>58</c:v>
                </c:pt>
                <c:pt idx="29">
                  <c:v>58.5</c:v>
                </c:pt>
                <c:pt idx="30">
                  <c:v>55.5</c:v>
                </c:pt>
                <c:pt idx="31">
                  <c:v>57</c:v>
                </c:pt>
                <c:pt idx="32">
                  <c:v>58</c:v>
                </c:pt>
                <c:pt idx="33">
                  <c:v>56</c:v>
                </c:pt>
                <c:pt idx="34">
                  <c:v>54</c:v>
                </c:pt>
                <c:pt idx="35">
                  <c:v>57</c:v>
                </c:pt>
                <c:pt idx="36">
                  <c:v>59</c:v>
                </c:pt>
                <c:pt idx="37">
                  <c:v>53</c:v>
                </c:pt>
                <c:pt idx="38">
                  <c:v>55</c:v>
                </c:pt>
                <c:pt idx="39">
                  <c:v>52</c:v>
                </c:pt>
                <c:pt idx="40">
                  <c:v>53</c:v>
                </c:pt>
                <c:pt idx="41">
                  <c:v>55.5</c:v>
                </c:pt>
                <c:pt idx="42">
                  <c:v>54.5</c:v>
                </c:pt>
                <c:pt idx="43">
                  <c:v>53</c:v>
                </c:pt>
                <c:pt idx="44">
                  <c:v>55</c:v>
                </c:pt>
                <c:pt idx="45">
                  <c:v>56.5</c:v>
                </c:pt>
                <c:pt idx="46">
                  <c:v>58</c:v>
                </c:pt>
                <c:pt idx="47">
                  <c:v>52</c:v>
                </c:pt>
                <c:pt idx="48">
                  <c:v>55</c:v>
                </c:pt>
                <c:pt idx="49">
                  <c:v>56</c:v>
                </c:pt>
                <c:pt idx="50">
                  <c:v>55.5</c:v>
                </c:pt>
                <c:pt idx="51">
                  <c:v>53</c:v>
                </c:pt>
                <c:pt idx="52">
                  <c:v>55</c:v>
                </c:pt>
                <c:pt idx="53">
                  <c:v>58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57</c:v>
                </c:pt>
                <c:pt idx="58">
                  <c:v>56</c:v>
                </c:pt>
                <c:pt idx="59">
                  <c:v>56</c:v>
                </c:pt>
                <c:pt idx="60">
                  <c:v>55</c:v>
                </c:pt>
                <c:pt idx="61">
                  <c:v>55</c:v>
                </c:pt>
                <c:pt idx="62">
                  <c:v>55</c:v>
                </c:pt>
                <c:pt idx="63">
                  <c:v>53</c:v>
                </c:pt>
                <c:pt idx="64">
                  <c:v>57</c:v>
                </c:pt>
                <c:pt idx="65">
                  <c:v>55</c:v>
                </c:pt>
                <c:pt idx="66">
                  <c:v>53</c:v>
                </c:pt>
                <c:pt idx="67">
                  <c:v>56</c:v>
                </c:pt>
                <c:pt idx="68">
                  <c:v>58</c:v>
                </c:pt>
                <c:pt idx="69">
                  <c:v>52.5</c:v>
                </c:pt>
                <c:pt idx="70">
                  <c:v>55</c:v>
                </c:pt>
                <c:pt idx="71">
                  <c:v>56</c:v>
                </c:pt>
                <c:pt idx="72">
                  <c:v>55</c:v>
                </c:pt>
                <c:pt idx="73">
                  <c:v>58.5</c:v>
                </c:pt>
                <c:pt idx="74">
                  <c:v>56</c:v>
                </c:pt>
                <c:pt idx="75">
                  <c:v>55</c:v>
                </c:pt>
                <c:pt idx="76">
                  <c:v>55.5</c:v>
                </c:pt>
                <c:pt idx="77">
                  <c:v>55</c:v>
                </c:pt>
                <c:pt idx="78">
                  <c:v>55</c:v>
                </c:pt>
                <c:pt idx="79">
                  <c:v>55</c:v>
                </c:pt>
                <c:pt idx="80">
                  <c:v>53</c:v>
                </c:pt>
                <c:pt idx="81">
                  <c:v>52.5</c:v>
                </c:pt>
                <c:pt idx="82">
                  <c:v>55</c:v>
                </c:pt>
                <c:pt idx="83">
                  <c:v>58.5</c:v>
                </c:pt>
                <c:pt idx="84">
                  <c:v>56</c:v>
                </c:pt>
                <c:pt idx="85">
                  <c:v>55</c:v>
                </c:pt>
                <c:pt idx="86">
                  <c:v>54.5</c:v>
                </c:pt>
                <c:pt idx="87">
                  <c:v>58</c:v>
                </c:pt>
                <c:pt idx="88">
                  <c:v>51.5</c:v>
                </c:pt>
                <c:pt idx="89">
                  <c:v>51</c:v>
                </c:pt>
                <c:pt idx="90">
                  <c:v>58</c:v>
                </c:pt>
                <c:pt idx="91">
                  <c:v>52</c:v>
                </c:pt>
                <c:pt idx="92">
                  <c:v>53</c:v>
                </c:pt>
                <c:pt idx="93">
                  <c:v>55</c:v>
                </c:pt>
                <c:pt idx="94">
                  <c:v>55.5</c:v>
                </c:pt>
                <c:pt idx="95">
                  <c:v>58</c:v>
                </c:pt>
                <c:pt idx="96">
                  <c:v>53.5</c:v>
                </c:pt>
                <c:pt idx="97">
                  <c:v>57.5</c:v>
                </c:pt>
                <c:pt idx="98">
                  <c:v>53.5</c:v>
                </c:pt>
                <c:pt idx="99">
                  <c:v>57</c:v>
                </c:pt>
              </c:numCache>
            </c:numRef>
          </c:xVal>
          <c:yVal>
            <c:numRef>
              <c:f>ANALYSIS!$AA$31:$AA$130</c:f>
              <c:numCache>
                <c:formatCode>0.00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22.76</c:v>
                </c:pt>
                <c:pt idx="51">
                  <c:v>23.03</c:v>
                </c:pt>
                <c:pt idx="52">
                  <c:v>23.97</c:v>
                </c:pt>
                <c:pt idx="53">
                  <c:v>23.56</c:v>
                </c:pt>
                <c:pt idx="54">
                  <c:v>22.26</c:v>
                </c:pt>
                <c:pt idx="55">
                  <c:v>22.35</c:v>
                </c:pt>
                <c:pt idx="56">
                  <c:v>23.35</c:v>
                </c:pt>
                <c:pt idx="57">
                  <c:v>23.73</c:v>
                </c:pt>
                <c:pt idx="58">
                  <c:v>25.21</c:v>
                </c:pt>
                <c:pt idx="59">
                  <c:v>24.35</c:v>
                </c:pt>
                <c:pt idx="60">
                  <c:v>24.56</c:v>
                </c:pt>
                <c:pt idx="61">
                  <c:v>22.45</c:v>
                </c:pt>
                <c:pt idx="62">
                  <c:v>25.5</c:v>
                </c:pt>
                <c:pt idx="63">
                  <c:v>23.12</c:v>
                </c:pt>
                <c:pt idx="64">
                  <c:v>23.64</c:v>
                </c:pt>
                <c:pt idx="65">
                  <c:v>23.71</c:v>
                </c:pt>
                <c:pt idx="66">
                  <c:v>22.75</c:v>
                </c:pt>
                <c:pt idx="67">
                  <c:v>25.13</c:v>
                </c:pt>
                <c:pt idx="68">
                  <c:v>21.8</c:v>
                </c:pt>
                <c:pt idx="69">
                  <c:v>22.31</c:v>
                </c:pt>
                <c:pt idx="70">
                  <c:v>23.94</c:v>
                </c:pt>
                <c:pt idx="71">
                  <c:v>22.44</c:v>
                </c:pt>
                <c:pt idx="72">
                  <c:v>23.82</c:v>
                </c:pt>
                <c:pt idx="73">
                  <c:v>24.48</c:v>
                </c:pt>
                <c:pt idx="74">
                  <c:v>24.35</c:v>
                </c:pt>
                <c:pt idx="75">
                  <c:v>23.1</c:v>
                </c:pt>
                <c:pt idx="76">
                  <c:v>21.5</c:v>
                </c:pt>
                <c:pt idx="77">
                  <c:v>24.34</c:v>
                </c:pt>
                <c:pt idx="78">
                  <c:v>25.35</c:v>
                </c:pt>
                <c:pt idx="79">
                  <c:v>22.97</c:v>
                </c:pt>
                <c:pt idx="80">
                  <c:v>22.06</c:v>
                </c:pt>
                <c:pt idx="81">
                  <c:v>24.46</c:v>
                </c:pt>
                <c:pt idx="82">
                  <c:v>23.77</c:v>
                </c:pt>
                <c:pt idx="83">
                  <c:v>25.22</c:v>
                </c:pt>
                <c:pt idx="84">
                  <c:v>23.89</c:v>
                </c:pt>
                <c:pt idx="85">
                  <c:v>22.62</c:v>
                </c:pt>
                <c:pt idx="86">
                  <c:v>21.46</c:v>
                </c:pt>
                <c:pt idx="87">
                  <c:v>23</c:v>
                </c:pt>
                <c:pt idx="88">
                  <c:v>22.36</c:v>
                </c:pt>
                <c:pt idx="89">
                  <c:v>21.79</c:v>
                </c:pt>
                <c:pt idx="90">
                  <c:v>26.09</c:v>
                </c:pt>
                <c:pt idx="91">
                  <c:v>23.78</c:v>
                </c:pt>
                <c:pt idx="92">
                  <c:v>25.3</c:v>
                </c:pt>
                <c:pt idx="93">
                  <c:v>23.85</c:v>
                </c:pt>
                <c:pt idx="94">
                  <c:v>23.94</c:v>
                </c:pt>
                <c:pt idx="95">
                  <c:v>24.46</c:v>
                </c:pt>
                <c:pt idx="96">
                  <c:v>21.7</c:v>
                </c:pt>
                <c:pt idx="97">
                  <c:v>25.26</c:v>
                </c:pt>
                <c:pt idx="98">
                  <c:v>24</c:v>
                </c:pt>
                <c:pt idx="99">
                  <c:v>24.41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54-49E6-9EF0-F94E35B81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428991"/>
        <c:axId val="901100399"/>
      </c:scatterChart>
      <c:valAx>
        <c:axId val="786428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spine (lb)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00399"/>
        <c:crosses val="autoZero"/>
        <c:crossBetween val="midCat"/>
      </c:valAx>
      <c:valAx>
        <c:axId val="90110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428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Spine Distribution by Batch (advertised 55-60 lb)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ANALYSIS!$N$11</c:f>
              <c:strCache>
                <c:ptCount val="1"/>
                <c:pt idx="0">
                  <c:v>Bin (lb)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ANALYSIS!$N$12:$N$21</c:f>
              <c:numCache>
                <c:formatCode>0</c:formatCode>
                <c:ptCount val="10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5-459E-B7CF-925F7909B4F4}"/>
            </c:ext>
          </c:extLst>
        </c:ser>
        <c:ser>
          <c:idx val="1"/>
          <c:order val="1"/>
          <c:tx>
            <c:strRef>
              <c:f>ANALYSIS!$O$11</c:f>
              <c:strCache>
                <c:ptCount val="1"/>
                <c:pt idx="0">
                  <c:v>Batch 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ANALYSIS!$O$12:$O$21</c:f>
              <c:numCache>
                <c:formatCode>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3</c:v>
                </c:pt>
                <c:pt idx="5">
                  <c:v>13</c:v>
                </c:pt>
                <c:pt idx="6">
                  <c:v>9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95-459E-B7CF-925F7909B4F4}"/>
            </c:ext>
          </c:extLst>
        </c:ser>
        <c:ser>
          <c:idx val="2"/>
          <c:order val="2"/>
          <c:tx>
            <c:strRef>
              <c:f>ANALYSIS!$P$11</c:f>
              <c:strCache>
                <c:ptCount val="1"/>
                <c:pt idx="0">
                  <c:v>Batch 20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ANALYSIS!$P$12:$P$21</c:f>
              <c:numCache>
                <c:formatCode>0</c:formatCode>
                <c:ptCount val="10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</c:v>
                </c:pt>
                <c:pt idx="5">
                  <c:v>17</c:v>
                </c:pt>
                <c:pt idx="6">
                  <c:v>9</c:v>
                </c:pt>
                <c:pt idx="7">
                  <c:v>4</c:v>
                </c:pt>
                <c:pt idx="8">
                  <c:v>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95-459E-B7CF-925F7909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4017535"/>
        <c:axId val="901127279"/>
      </c:barChart>
      <c:catAx>
        <c:axId val="99401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spine bin (lb, lower bound)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127279"/>
        <c:crosses val="autoZero"/>
        <c:auto val="1"/>
        <c:lblAlgn val="ctr"/>
        <c:lblOffset val="100"/>
        <c:noMultiLvlLbl val="0"/>
      </c:catAx>
      <c:valAx>
        <c:axId val="90112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shafts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17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134</xdr:row>
      <xdr:rowOff>0</xdr:rowOff>
    </xdr:from>
    <xdr:to>
      <xdr:col>18</xdr:col>
      <xdr:colOff>0</xdr:colOff>
      <xdr:row>152</xdr:row>
      <xdr:rowOff>0</xdr:rowOff>
    </xdr:to>
    <xdr:graphicFrame macro="">
      <xdr:nvGraphicFramePr>
        <xdr:cNvPr id="3" name="SpineVsWeight">
          <a:extLst>
            <a:ext uri="{FF2B5EF4-FFF2-40B4-BE49-F238E27FC236}">
              <a16:creationId xmlns:a16="http://schemas.microsoft.com/office/drawing/2014/main" id="{7419C732-4A64-58B4-5BBE-7AF56737AB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8</xdr:col>
      <xdr:colOff>0</xdr:colOff>
      <xdr:row>152</xdr:row>
      <xdr:rowOff>0</xdr:rowOff>
    </xdr:to>
    <xdr:graphicFrame macro="">
      <xdr:nvGraphicFramePr>
        <xdr:cNvPr id="4" name="SpineHistogram">
          <a:extLst>
            <a:ext uri="{FF2B5EF4-FFF2-40B4-BE49-F238E27FC236}">
              <a16:creationId xmlns:a16="http://schemas.microsoft.com/office/drawing/2014/main" id="{B8E54DA3-4378-FB65-7C9B-F6E59E1203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6F2F75-CA7E-4EAE-888D-F11BFB1C4749}" name="__Anonymous_Sheet_DB__0" displayName="__Anonymous_Sheet_DB__0" ref="A2:C52" totalsRowShown="0">
  <autoFilter ref="A2:C52" xr:uid="{731C014F-C265-4AC1-ABD4-BCDF3B19AF70}"/>
  <tableColumns count="3">
    <tableColumn id="1" xr3:uid="{D414CB09-5288-4CD5-A4A9-69F43C3064A0}" name="Shaft#"/>
    <tableColumn id="2" xr3:uid="{95379593-218E-4096-8A07-49393DE9685B}" name="Spine A (lb)"/>
    <tableColumn id="3" xr3:uid="{02A32C1E-67C0-492F-8AAF-AACE333D56B2}" name="Spine B (lb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83ECFC-8F59-4219-AA09-AA7C2EE71504}" name="__Anonymous_Sheet_DB__1" displayName="__Anonymous_Sheet_DB__1" ref="A2:C52" totalsRowShown="0">
  <tableColumns count="3">
    <tableColumn id="1" xr3:uid="{09F02514-BF9B-4F5D-A93A-CDC81F2299DA}" name="Shaft#"/>
    <tableColumn id="2" xr3:uid="{B1FE5532-20E0-4FE4-A4A6-D50B5B33E217}" name="Spine A (lb)"/>
    <tableColumn id="3" xr3:uid="{0D3D99C4-0E5A-42FB-BCB0-25CE8D8520FD}" name="Spine B (lb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DBBBB8-E942-4291-92C6-4EA669A32E5C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c9a90977-4a52-4635-8568-67de0ffdf79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7F49B-9C76-45C2-9E91-CF245BA09790}">
  <dimension ref="A1:E60"/>
  <sheetViews>
    <sheetView tabSelected="1" topLeftCell="A40" workbookViewId="0">
      <selection activeCell="C12" sqref="C12"/>
    </sheetView>
  </sheetViews>
  <sheetFormatPr defaultRowHeight="15" x14ac:dyDescent="0.25"/>
  <cols>
    <col min="1" max="1" width="41" customWidth="1"/>
    <col min="2" max="2" width="18.140625" customWidth="1"/>
    <col min="3" max="3" width="22.85546875" customWidth="1"/>
    <col min="4" max="4" width="15.28515625" customWidth="1"/>
    <col min="5" max="5" width="110.42578125" style="53" customWidth="1"/>
  </cols>
  <sheetData>
    <row r="1" spans="1:5" ht="19.5" x14ac:dyDescent="0.25">
      <c r="A1" s="76" t="s">
        <v>209</v>
      </c>
      <c r="B1" s="53"/>
      <c r="C1" s="53"/>
      <c r="D1" s="53"/>
      <c r="E1" s="54"/>
    </row>
    <row r="2" spans="1:5" ht="30" customHeight="1" x14ac:dyDescent="0.25">
      <c r="A2" s="77" t="s">
        <v>210</v>
      </c>
      <c r="B2" s="53"/>
      <c r="C2" s="53"/>
      <c r="D2" s="53"/>
      <c r="E2" s="54"/>
    </row>
    <row r="3" spans="1:5" x14ac:dyDescent="0.25">
      <c r="A3" s="78"/>
      <c r="B3" s="53"/>
      <c r="C3" s="53"/>
      <c r="D3" s="53"/>
      <c r="E3" s="54"/>
    </row>
    <row r="4" spans="1:5" ht="15.75" x14ac:dyDescent="0.25">
      <c r="A4" s="79" t="s">
        <v>211</v>
      </c>
      <c r="B4" s="72"/>
      <c r="C4" s="72"/>
      <c r="D4" s="72"/>
      <c r="E4" s="73"/>
    </row>
    <row r="5" spans="1:5" x14ac:dyDescent="0.25">
      <c r="A5" s="80" t="s">
        <v>212</v>
      </c>
      <c r="B5" s="60" t="s">
        <v>213</v>
      </c>
      <c r="C5" s="60" t="s">
        <v>214</v>
      </c>
      <c r="D5" s="61" t="s">
        <v>215</v>
      </c>
      <c r="E5" s="62" t="s">
        <v>216</v>
      </c>
    </row>
    <row r="6" spans="1:5" x14ac:dyDescent="0.25">
      <c r="A6" s="81" t="s">
        <v>217</v>
      </c>
      <c r="B6" s="63" t="s">
        <v>218</v>
      </c>
      <c r="C6" s="63" t="s">
        <v>219</v>
      </c>
      <c r="D6" s="64">
        <f>ANALYSIS!$B$5</f>
        <v>54</v>
      </c>
      <c r="E6" s="65" t="s">
        <v>220</v>
      </c>
    </row>
    <row r="7" spans="1:5" x14ac:dyDescent="0.25">
      <c r="A7" s="81" t="s">
        <v>221</v>
      </c>
      <c r="B7" s="63" t="s">
        <v>222</v>
      </c>
      <c r="C7" s="63" t="s">
        <v>223</v>
      </c>
      <c r="D7" s="64">
        <f>ANALYSIS!$B$6</f>
        <v>60</v>
      </c>
      <c r="E7" s="65" t="s">
        <v>224</v>
      </c>
    </row>
    <row r="8" spans="1:5" x14ac:dyDescent="0.25">
      <c r="A8" s="81" t="s">
        <v>225</v>
      </c>
      <c r="B8" s="63" t="s">
        <v>226</v>
      </c>
      <c r="C8" s="63" t="s">
        <v>227</v>
      </c>
      <c r="D8" s="64">
        <f>ANALYSIS!$B$7</f>
        <v>1</v>
      </c>
      <c r="E8" s="65" t="s">
        <v>228</v>
      </c>
    </row>
    <row r="9" spans="1:5" x14ac:dyDescent="0.25">
      <c r="A9" s="81" t="s">
        <v>229</v>
      </c>
      <c r="B9" s="63" t="s">
        <v>230</v>
      </c>
      <c r="C9" s="63" t="s">
        <v>231</v>
      </c>
      <c r="D9" s="64">
        <f>ANALYSIS!$G$5</f>
        <v>3</v>
      </c>
      <c r="E9" s="65" t="s">
        <v>232</v>
      </c>
    </row>
    <row r="10" spans="1:5" x14ac:dyDescent="0.25">
      <c r="A10" s="81" t="s">
        <v>233</v>
      </c>
      <c r="B10" s="63" t="s">
        <v>234</v>
      </c>
      <c r="C10" s="63" t="s">
        <v>235</v>
      </c>
      <c r="D10" s="64">
        <f>ANALYSIS!$G$6</f>
        <v>0.5</v>
      </c>
      <c r="E10" s="65" t="s">
        <v>236</v>
      </c>
    </row>
    <row r="11" spans="1:5" ht="30" x14ac:dyDescent="0.25">
      <c r="A11" s="82" t="s">
        <v>237</v>
      </c>
      <c r="B11" s="66" t="s">
        <v>238</v>
      </c>
      <c r="C11" s="66" t="s">
        <v>239</v>
      </c>
      <c r="D11" s="67">
        <f>ANALYSIS!$G$7</f>
        <v>3</v>
      </c>
      <c r="E11" s="68" t="s">
        <v>240</v>
      </c>
    </row>
    <row r="12" spans="1:5" x14ac:dyDescent="0.25">
      <c r="A12" s="78"/>
      <c r="B12" s="53"/>
      <c r="C12" s="53"/>
      <c r="D12" s="53"/>
      <c r="E12" s="54"/>
    </row>
    <row r="13" spans="1:5" x14ac:dyDescent="0.25">
      <c r="A13" s="83" t="s">
        <v>241</v>
      </c>
      <c r="B13" s="53"/>
      <c r="C13" s="53"/>
      <c r="D13" s="53"/>
      <c r="E13" s="54" t="s">
        <v>242</v>
      </c>
    </row>
    <row r="14" spans="1:5" x14ac:dyDescent="0.25">
      <c r="A14" s="78"/>
      <c r="B14" s="53"/>
      <c r="C14" s="53"/>
      <c r="D14" s="53"/>
      <c r="E14" s="54"/>
    </row>
    <row r="15" spans="1:5" ht="15.75" x14ac:dyDescent="0.25">
      <c r="A15" s="79" t="s">
        <v>243</v>
      </c>
      <c r="B15" s="72"/>
      <c r="C15" s="72"/>
      <c r="D15" s="72"/>
      <c r="E15" s="73"/>
    </row>
    <row r="16" spans="1:5" x14ac:dyDescent="0.25">
      <c r="A16" s="84" t="s">
        <v>244</v>
      </c>
      <c r="B16" s="69"/>
      <c r="C16" s="69"/>
      <c r="D16" s="69"/>
      <c r="E16" s="57" t="s">
        <v>245</v>
      </c>
    </row>
    <row r="17" spans="1:5" x14ac:dyDescent="0.25">
      <c r="A17" s="85" t="s">
        <v>246</v>
      </c>
      <c r="B17" s="58"/>
      <c r="C17" s="58"/>
      <c r="D17" s="58"/>
      <c r="E17" s="70" t="s">
        <v>247</v>
      </c>
    </row>
    <row r="18" spans="1:5" x14ac:dyDescent="0.25">
      <c r="A18" s="85" t="s">
        <v>248</v>
      </c>
      <c r="B18" s="58"/>
      <c r="C18" s="58"/>
      <c r="D18" s="58"/>
      <c r="E18" s="70" t="s">
        <v>249</v>
      </c>
    </row>
    <row r="19" spans="1:5" x14ac:dyDescent="0.25">
      <c r="A19" s="85" t="s">
        <v>250</v>
      </c>
      <c r="B19" s="58"/>
      <c r="C19" s="58"/>
      <c r="D19" s="58"/>
      <c r="E19" s="70" t="s">
        <v>251</v>
      </c>
    </row>
    <row r="20" spans="1:5" x14ac:dyDescent="0.25">
      <c r="A20" s="86" t="s">
        <v>252</v>
      </c>
      <c r="B20" s="59"/>
      <c r="C20" s="59"/>
      <c r="D20" s="59"/>
      <c r="E20" s="71" t="s">
        <v>253</v>
      </c>
    </row>
    <row r="21" spans="1:5" x14ac:dyDescent="0.25">
      <c r="A21" s="78"/>
      <c r="B21" s="53"/>
      <c r="C21" s="53"/>
      <c r="D21" s="53"/>
      <c r="E21" s="54"/>
    </row>
    <row r="22" spans="1:5" ht="15.75" x14ac:dyDescent="0.25">
      <c r="A22" s="79" t="s">
        <v>254</v>
      </c>
      <c r="B22" s="72"/>
      <c r="C22" s="72"/>
      <c r="D22" s="72"/>
      <c r="E22" s="73"/>
    </row>
    <row r="23" spans="1:5" ht="45" x14ac:dyDescent="0.25">
      <c r="A23" s="83" t="s">
        <v>255</v>
      </c>
      <c r="B23" s="53"/>
      <c r="C23" s="53"/>
      <c r="D23" s="53"/>
      <c r="E23" s="54" t="s">
        <v>256</v>
      </c>
    </row>
    <row r="24" spans="1:5" x14ac:dyDescent="0.25">
      <c r="A24" s="78" t="s">
        <v>257</v>
      </c>
      <c r="B24" s="53"/>
      <c r="C24" s="53"/>
      <c r="D24" s="53"/>
      <c r="E24" s="54" t="s">
        <v>258</v>
      </c>
    </row>
    <row r="25" spans="1:5" ht="30" x14ac:dyDescent="0.25">
      <c r="A25" s="78" t="s">
        <v>259</v>
      </c>
      <c r="B25" s="53"/>
      <c r="C25" s="53"/>
      <c r="D25" s="53"/>
      <c r="E25" s="54" t="s">
        <v>260</v>
      </c>
    </row>
    <row r="26" spans="1:5" x14ac:dyDescent="0.25">
      <c r="A26" s="78"/>
      <c r="B26" s="53"/>
      <c r="C26" s="53"/>
      <c r="D26" s="53"/>
      <c r="E26" s="54"/>
    </row>
    <row r="27" spans="1:5" ht="15.75" x14ac:dyDescent="0.25">
      <c r="A27" s="79" t="s">
        <v>261</v>
      </c>
      <c r="B27" s="72"/>
      <c r="C27" s="72"/>
      <c r="D27" s="72"/>
      <c r="E27" s="73"/>
    </row>
    <row r="28" spans="1:5" ht="30" x14ac:dyDescent="0.25">
      <c r="A28" s="78" t="s">
        <v>262</v>
      </c>
      <c r="B28" s="53"/>
      <c r="C28" s="53"/>
      <c r="D28" s="53"/>
      <c r="E28" s="54" t="s">
        <v>263</v>
      </c>
    </row>
    <row r="29" spans="1:5" x14ac:dyDescent="0.25">
      <c r="A29" s="78"/>
      <c r="B29" s="53"/>
      <c r="C29" s="53"/>
      <c r="D29" s="53"/>
      <c r="E29" s="54"/>
    </row>
    <row r="30" spans="1:5" ht="15.75" x14ac:dyDescent="0.25">
      <c r="A30" s="79" t="s">
        <v>264</v>
      </c>
      <c r="B30" s="72"/>
      <c r="C30" s="72"/>
      <c r="D30" s="72"/>
      <c r="E30" s="73"/>
    </row>
    <row r="31" spans="1:5" x14ac:dyDescent="0.25">
      <c r="A31" s="83" t="s">
        <v>265</v>
      </c>
      <c r="B31" s="53"/>
      <c r="C31" s="53"/>
      <c r="D31" s="53"/>
      <c r="E31" s="54" t="s">
        <v>266</v>
      </c>
    </row>
    <row r="32" spans="1:5" ht="48" customHeight="1" x14ac:dyDescent="0.25">
      <c r="A32" s="78" t="s">
        <v>267</v>
      </c>
      <c r="B32" s="53"/>
      <c r="C32" s="53"/>
      <c r="D32" s="53"/>
      <c r="E32" s="55" t="s">
        <v>268</v>
      </c>
    </row>
    <row r="33" spans="1:5" ht="30" x14ac:dyDescent="0.25">
      <c r="A33" s="78" t="s">
        <v>269</v>
      </c>
      <c r="B33" s="53"/>
      <c r="C33" s="53"/>
      <c r="D33" s="53"/>
      <c r="E33" s="54" t="s">
        <v>270</v>
      </c>
    </row>
    <row r="34" spans="1:5" x14ac:dyDescent="0.25">
      <c r="A34" s="78" t="s">
        <v>271</v>
      </c>
      <c r="B34" s="53"/>
      <c r="C34" s="53"/>
      <c r="D34" s="53"/>
      <c r="E34" s="54" t="s">
        <v>272</v>
      </c>
    </row>
    <row r="35" spans="1:5" x14ac:dyDescent="0.25">
      <c r="A35" s="78" t="s">
        <v>273</v>
      </c>
      <c r="B35" s="53"/>
      <c r="C35" s="53"/>
      <c r="D35" s="53"/>
      <c r="E35" s="54" t="s">
        <v>274</v>
      </c>
    </row>
    <row r="36" spans="1:5" ht="60" x14ac:dyDescent="0.25">
      <c r="A36" s="87" t="s">
        <v>275</v>
      </c>
      <c r="B36" s="53"/>
      <c r="C36" s="53"/>
      <c r="D36" s="53"/>
      <c r="E36" s="56" t="s">
        <v>276</v>
      </c>
    </row>
    <row r="37" spans="1:5" x14ac:dyDescent="0.25">
      <c r="A37" s="78"/>
      <c r="B37" s="53"/>
      <c r="C37" s="53"/>
      <c r="D37" s="53"/>
      <c r="E37" s="54"/>
    </row>
    <row r="38" spans="1:5" ht="15.75" x14ac:dyDescent="0.25">
      <c r="A38" s="79" t="s">
        <v>277</v>
      </c>
      <c r="B38" s="72"/>
      <c r="C38" s="72"/>
      <c r="D38" s="72"/>
      <c r="E38" s="73"/>
    </row>
    <row r="39" spans="1:5" x14ac:dyDescent="0.25">
      <c r="A39" s="83" t="s">
        <v>265</v>
      </c>
      <c r="B39" s="53"/>
      <c r="C39" s="53"/>
      <c r="D39" s="53"/>
      <c r="E39" s="54" t="s">
        <v>278</v>
      </c>
    </row>
    <row r="40" spans="1:5" ht="170.1" customHeight="1" x14ac:dyDescent="0.25">
      <c r="A40" s="78" t="s">
        <v>279</v>
      </c>
      <c r="B40" s="53"/>
      <c r="C40" s="53"/>
      <c r="D40" s="53"/>
      <c r="E40" s="55" t="s">
        <v>280</v>
      </c>
    </row>
    <row r="41" spans="1:5" ht="30" x14ac:dyDescent="0.25">
      <c r="A41" s="78" t="s">
        <v>281</v>
      </c>
      <c r="B41" s="53"/>
      <c r="C41" s="53"/>
      <c r="D41" s="53"/>
      <c r="E41" s="54" t="s">
        <v>282</v>
      </c>
    </row>
    <row r="42" spans="1:5" ht="30" x14ac:dyDescent="0.25">
      <c r="A42" s="78" t="s">
        <v>283</v>
      </c>
      <c r="B42" s="53"/>
      <c r="C42" s="53"/>
      <c r="D42" s="53"/>
      <c r="E42" s="54" t="s">
        <v>284</v>
      </c>
    </row>
    <row r="43" spans="1:5" ht="30" x14ac:dyDescent="0.25">
      <c r="A43" s="78" t="s">
        <v>285</v>
      </c>
      <c r="B43" s="53"/>
      <c r="C43" s="53"/>
      <c r="D43" s="53"/>
      <c r="E43" s="54" t="s">
        <v>286</v>
      </c>
    </row>
    <row r="44" spans="1:5" ht="30" x14ac:dyDescent="0.25">
      <c r="A44" s="78" t="s">
        <v>259</v>
      </c>
      <c r="B44" s="53"/>
      <c r="C44" s="53"/>
      <c r="D44" s="53"/>
      <c r="E44" s="54" t="s">
        <v>287</v>
      </c>
    </row>
    <row r="45" spans="1:5" x14ac:dyDescent="0.25">
      <c r="A45" s="78"/>
      <c r="B45" s="53"/>
      <c r="C45" s="53"/>
      <c r="D45" s="53"/>
      <c r="E45" s="54"/>
    </row>
    <row r="46" spans="1:5" ht="15.75" x14ac:dyDescent="0.25">
      <c r="A46" s="88" t="s">
        <v>288</v>
      </c>
      <c r="B46" s="74"/>
      <c r="C46" s="74"/>
      <c r="D46" s="74"/>
      <c r="E46" s="75"/>
    </row>
    <row r="47" spans="1:5" ht="30" x14ac:dyDescent="0.25">
      <c r="A47" s="83" t="s">
        <v>289</v>
      </c>
      <c r="B47" s="53"/>
      <c r="C47" s="53"/>
      <c r="D47" s="53"/>
      <c r="E47" s="54" t="s">
        <v>290</v>
      </c>
    </row>
    <row r="48" spans="1:5" ht="45" x14ac:dyDescent="0.25">
      <c r="A48" s="87" t="s">
        <v>291</v>
      </c>
      <c r="B48" s="53"/>
      <c r="C48" s="53"/>
      <c r="D48" s="53"/>
      <c r="E48" s="54" t="s">
        <v>292</v>
      </c>
    </row>
    <row r="49" spans="1:5" ht="62.1" customHeight="1" x14ac:dyDescent="0.25">
      <c r="A49" s="78" t="s">
        <v>293</v>
      </c>
      <c r="B49" s="53"/>
      <c r="C49" s="53"/>
      <c r="D49" s="53"/>
      <c r="E49" s="55" t="s">
        <v>294</v>
      </c>
    </row>
    <row r="50" spans="1:5" ht="45" x14ac:dyDescent="0.25">
      <c r="A50" s="87" t="s">
        <v>295</v>
      </c>
      <c r="B50" s="53"/>
      <c r="C50" s="53"/>
      <c r="D50" s="53"/>
      <c r="E50" s="54" t="s">
        <v>296</v>
      </c>
    </row>
    <row r="51" spans="1:5" ht="30" x14ac:dyDescent="0.25">
      <c r="A51" s="78" t="s">
        <v>297</v>
      </c>
      <c r="B51" s="53"/>
      <c r="C51" s="53"/>
      <c r="D51" s="53"/>
      <c r="E51" s="54" t="s">
        <v>298</v>
      </c>
    </row>
    <row r="52" spans="1:5" x14ac:dyDescent="0.25">
      <c r="A52" s="78"/>
      <c r="B52" s="53"/>
      <c r="C52" s="53"/>
      <c r="D52" s="53"/>
      <c r="E52" s="54"/>
    </row>
    <row r="53" spans="1:5" ht="15.75" x14ac:dyDescent="0.25">
      <c r="A53" s="79" t="s">
        <v>299</v>
      </c>
      <c r="B53" s="72"/>
      <c r="C53" s="72"/>
      <c r="D53" s="72"/>
      <c r="E53" s="73"/>
    </row>
    <row r="54" spans="1:5" ht="45" x14ac:dyDescent="0.25">
      <c r="A54" s="78" t="s">
        <v>300</v>
      </c>
      <c r="B54" s="53"/>
      <c r="C54" s="53"/>
      <c r="D54" s="53"/>
      <c r="E54" s="54" t="s">
        <v>301</v>
      </c>
    </row>
    <row r="55" spans="1:5" ht="30" x14ac:dyDescent="0.25">
      <c r="A55" s="78" t="s">
        <v>302</v>
      </c>
      <c r="B55" s="53"/>
      <c r="C55" s="53"/>
      <c r="D55" s="53"/>
      <c r="E55" s="54" t="s">
        <v>303</v>
      </c>
    </row>
    <row r="56" spans="1:5" ht="30" x14ac:dyDescent="0.25">
      <c r="A56" s="78" t="s">
        <v>304</v>
      </c>
      <c r="B56" s="53"/>
      <c r="C56" s="53"/>
      <c r="D56" s="53"/>
      <c r="E56" s="54" t="s">
        <v>305</v>
      </c>
    </row>
    <row r="57" spans="1:5" x14ac:dyDescent="0.25">
      <c r="A57" s="53"/>
      <c r="B57" s="53"/>
      <c r="C57" s="53"/>
      <c r="D57" s="53"/>
      <c r="E57" s="54"/>
    </row>
    <row r="58" spans="1:5" x14ac:dyDescent="0.25">
      <c r="A58" s="53"/>
      <c r="B58" s="53"/>
      <c r="C58" s="53"/>
      <c r="D58" s="53"/>
      <c r="E58" s="54"/>
    </row>
    <row r="59" spans="1:5" x14ac:dyDescent="0.25">
      <c r="A59" s="53"/>
      <c r="B59" s="53"/>
      <c r="C59" s="53"/>
      <c r="D59" s="53"/>
      <c r="E59" s="54"/>
    </row>
    <row r="60" spans="1:5" x14ac:dyDescent="0.25">
      <c r="A60" s="53"/>
      <c r="B60" s="53"/>
      <c r="C60" s="53"/>
      <c r="D60" s="53"/>
      <c r="E60" s="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95CD-D0FF-427D-AAF7-DFC47EF1638C}">
  <dimension ref="A1:D52"/>
  <sheetViews>
    <sheetView workbookViewId="0"/>
  </sheetViews>
  <sheetFormatPr defaultRowHeight="15" x14ac:dyDescent="0.25"/>
  <cols>
    <col min="1" max="1" width="18.7109375" customWidth="1"/>
    <col min="2" max="4" width="12.140625" customWidth="1"/>
    <col min="5" max="5" width="9.140625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>
        <v>56</v>
      </c>
      <c r="C3">
        <v>55</v>
      </c>
      <c r="D3">
        <v>23.23</v>
      </c>
    </row>
    <row r="4" spans="1:4" x14ac:dyDescent="0.25">
      <c r="A4" t="s">
        <v>6</v>
      </c>
      <c r="B4">
        <v>58</v>
      </c>
      <c r="C4">
        <v>58</v>
      </c>
      <c r="D4">
        <v>24.7</v>
      </c>
    </row>
    <row r="5" spans="1:4" x14ac:dyDescent="0.25">
      <c r="A5" t="s">
        <v>7</v>
      </c>
      <c r="B5">
        <v>52</v>
      </c>
      <c r="C5">
        <v>52</v>
      </c>
      <c r="D5">
        <v>22.19</v>
      </c>
    </row>
    <row r="6" spans="1:4" x14ac:dyDescent="0.25">
      <c r="A6" t="s">
        <v>8</v>
      </c>
      <c r="B6">
        <v>55</v>
      </c>
      <c r="C6">
        <v>55</v>
      </c>
      <c r="D6">
        <v>24.03</v>
      </c>
    </row>
    <row r="7" spans="1:4" x14ac:dyDescent="0.25">
      <c r="A7" t="s">
        <v>9</v>
      </c>
      <c r="B7">
        <v>56</v>
      </c>
      <c r="C7">
        <v>56</v>
      </c>
      <c r="D7">
        <v>21.93</v>
      </c>
    </row>
    <row r="8" spans="1:4" x14ac:dyDescent="0.25">
      <c r="A8" t="s">
        <v>10</v>
      </c>
      <c r="B8">
        <v>55</v>
      </c>
      <c r="C8">
        <v>55</v>
      </c>
      <c r="D8">
        <v>23.85</v>
      </c>
    </row>
    <row r="9" spans="1:4" x14ac:dyDescent="0.25">
      <c r="A9" t="s">
        <v>11</v>
      </c>
      <c r="B9">
        <v>52</v>
      </c>
      <c r="C9">
        <v>52</v>
      </c>
      <c r="D9">
        <v>21.59</v>
      </c>
    </row>
    <row r="10" spans="1:4" x14ac:dyDescent="0.25">
      <c r="A10" t="s">
        <v>12</v>
      </c>
      <c r="B10">
        <v>53</v>
      </c>
      <c r="C10">
        <v>53</v>
      </c>
      <c r="D10">
        <v>21.54</v>
      </c>
    </row>
    <row r="11" spans="1:4" x14ac:dyDescent="0.25">
      <c r="A11" t="s">
        <v>13</v>
      </c>
      <c r="B11">
        <v>50</v>
      </c>
      <c r="C11">
        <v>50</v>
      </c>
      <c r="D11">
        <v>22.67</v>
      </c>
    </row>
    <row r="12" spans="1:4" x14ac:dyDescent="0.25">
      <c r="A12" t="s">
        <v>14</v>
      </c>
      <c r="B12">
        <v>56</v>
      </c>
      <c r="C12">
        <v>56</v>
      </c>
      <c r="D12">
        <v>24.67</v>
      </c>
    </row>
    <row r="13" spans="1:4" x14ac:dyDescent="0.25">
      <c r="A13" t="s">
        <v>15</v>
      </c>
      <c r="B13">
        <v>52</v>
      </c>
      <c r="C13">
        <v>52</v>
      </c>
      <c r="D13">
        <v>23.14</v>
      </c>
    </row>
    <row r="14" spans="1:4" x14ac:dyDescent="0.25">
      <c r="A14" t="s">
        <v>16</v>
      </c>
      <c r="B14">
        <v>58</v>
      </c>
      <c r="C14">
        <v>57</v>
      </c>
      <c r="D14">
        <v>24.3</v>
      </c>
    </row>
    <row r="15" spans="1:4" x14ac:dyDescent="0.25">
      <c r="A15" t="s">
        <v>17</v>
      </c>
      <c r="B15">
        <v>53</v>
      </c>
      <c r="C15">
        <v>53</v>
      </c>
      <c r="D15">
        <v>21.49</v>
      </c>
    </row>
    <row r="16" spans="1:4" x14ac:dyDescent="0.25">
      <c r="A16" t="s">
        <v>18</v>
      </c>
      <c r="B16">
        <v>55.5</v>
      </c>
      <c r="C16">
        <v>55.5</v>
      </c>
      <c r="D16">
        <v>23.4</v>
      </c>
    </row>
    <row r="17" spans="1:4" x14ac:dyDescent="0.25">
      <c r="A17" t="s">
        <v>19</v>
      </c>
      <c r="B17">
        <v>56</v>
      </c>
      <c r="C17">
        <v>56</v>
      </c>
      <c r="D17">
        <v>23.44</v>
      </c>
    </row>
    <row r="18" spans="1:4" x14ac:dyDescent="0.25">
      <c r="A18" t="s">
        <v>20</v>
      </c>
      <c r="B18">
        <v>56</v>
      </c>
      <c r="C18">
        <v>56</v>
      </c>
      <c r="D18">
        <v>21.93</v>
      </c>
    </row>
    <row r="19" spans="1:4" x14ac:dyDescent="0.25">
      <c r="A19" t="s">
        <v>21</v>
      </c>
      <c r="B19">
        <v>57</v>
      </c>
      <c r="C19">
        <v>56</v>
      </c>
      <c r="D19">
        <v>25.22</v>
      </c>
    </row>
    <row r="20" spans="1:4" x14ac:dyDescent="0.25">
      <c r="A20" t="s">
        <v>22</v>
      </c>
      <c r="B20">
        <v>52</v>
      </c>
      <c r="C20">
        <v>52</v>
      </c>
      <c r="D20">
        <v>21.66</v>
      </c>
    </row>
    <row r="21" spans="1:4" x14ac:dyDescent="0.25">
      <c r="A21" t="s">
        <v>23</v>
      </c>
      <c r="B21">
        <v>56</v>
      </c>
      <c r="C21">
        <v>55</v>
      </c>
      <c r="D21">
        <v>21.7</v>
      </c>
    </row>
    <row r="22" spans="1:4" x14ac:dyDescent="0.25">
      <c r="A22" t="s">
        <v>24</v>
      </c>
      <c r="B22">
        <v>55</v>
      </c>
      <c r="C22">
        <v>55</v>
      </c>
      <c r="D22">
        <v>22.98</v>
      </c>
    </row>
    <row r="23" spans="1:4" x14ac:dyDescent="0.25">
      <c r="A23" t="s">
        <v>25</v>
      </c>
      <c r="B23">
        <v>56</v>
      </c>
      <c r="C23">
        <v>56</v>
      </c>
      <c r="D23">
        <v>25.62</v>
      </c>
    </row>
    <row r="24" spans="1:4" x14ac:dyDescent="0.25">
      <c r="A24" t="s">
        <v>26</v>
      </c>
      <c r="B24">
        <v>55.5</v>
      </c>
      <c r="C24">
        <v>55.5</v>
      </c>
      <c r="D24">
        <v>23.25</v>
      </c>
    </row>
    <row r="25" spans="1:4" x14ac:dyDescent="0.25">
      <c r="A25" t="s">
        <v>27</v>
      </c>
      <c r="B25">
        <v>55</v>
      </c>
      <c r="C25">
        <v>55</v>
      </c>
      <c r="D25">
        <v>25.09</v>
      </c>
    </row>
    <row r="26" spans="1:4" x14ac:dyDescent="0.25">
      <c r="A26" t="s">
        <v>28</v>
      </c>
      <c r="B26">
        <v>59</v>
      </c>
      <c r="C26">
        <v>59</v>
      </c>
      <c r="D26">
        <v>23.29</v>
      </c>
    </row>
    <row r="27" spans="1:4" x14ac:dyDescent="0.25">
      <c r="A27" t="s">
        <v>29</v>
      </c>
      <c r="B27">
        <v>58</v>
      </c>
      <c r="C27">
        <v>57</v>
      </c>
      <c r="D27">
        <v>24.15</v>
      </c>
    </row>
    <row r="28" spans="1:4" x14ac:dyDescent="0.25">
      <c r="A28" t="s">
        <v>30</v>
      </c>
      <c r="B28">
        <v>51</v>
      </c>
      <c r="C28">
        <v>51</v>
      </c>
      <c r="D28">
        <v>25.82</v>
      </c>
    </row>
    <row r="29" spans="1:4" x14ac:dyDescent="0.25">
      <c r="A29" t="s">
        <v>31</v>
      </c>
      <c r="B29">
        <v>59</v>
      </c>
      <c r="C29">
        <v>59</v>
      </c>
      <c r="D29">
        <v>26.03</v>
      </c>
    </row>
    <row r="30" spans="1:4" x14ac:dyDescent="0.25">
      <c r="A30" t="s">
        <v>32</v>
      </c>
      <c r="B30">
        <v>54</v>
      </c>
      <c r="C30">
        <v>54</v>
      </c>
      <c r="D30">
        <v>23.49</v>
      </c>
    </row>
    <row r="31" spans="1:4" x14ac:dyDescent="0.25">
      <c r="A31" t="s">
        <v>33</v>
      </c>
      <c r="B31">
        <v>58</v>
      </c>
      <c r="C31">
        <v>58</v>
      </c>
      <c r="D31">
        <v>26.76</v>
      </c>
    </row>
    <row r="32" spans="1:4" x14ac:dyDescent="0.25">
      <c r="A32" t="s">
        <v>34</v>
      </c>
      <c r="B32">
        <v>59</v>
      </c>
      <c r="C32">
        <v>58</v>
      </c>
      <c r="D32">
        <v>25.48</v>
      </c>
    </row>
    <row r="33" spans="1:4" x14ac:dyDescent="0.25">
      <c r="A33" t="s">
        <v>35</v>
      </c>
      <c r="B33">
        <v>56</v>
      </c>
      <c r="C33">
        <v>55</v>
      </c>
      <c r="D33">
        <v>25.52</v>
      </c>
    </row>
    <row r="34" spans="1:4" x14ac:dyDescent="0.25">
      <c r="A34" t="s">
        <v>36</v>
      </c>
      <c r="B34">
        <v>57</v>
      </c>
      <c r="C34">
        <v>57</v>
      </c>
      <c r="D34">
        <v>22.86</v>
      </c>
    </row>
    <row r="35" spans="1:4" x14ac:dyDescent="0.25">
      <c r="A35" t="s">
        <v>37</v>
      </c>
      <c r="B35">
        <v>58</v>
      </c>
      <c r="C35">
        <v>58</v>
      </c>
      <c r="D35">
        <v>23.24</v>
      </c>
    </row>
    <row r="36" spans="1:4" x14ac:dyDescent="0.25">
      <c r="A36" t="s">
        <v>38</v>
      </c>
      <c r="B36">
        <v>56</v>
      </c>
      <c r="C36">
        <v>56</v>
      </c>
      <c r="D36">
        <v>22.34</v>
      </c>
    </row>
    <row r="37" spans="1:4" x14ac:dyDescent="0.25">
      <c r="A37" t="s">
        <v>39</v>
      </c>
      <c r="B37">
        <v>54</v>
      </c>
      <c r="C37">
        <v>54</v>
      </c>
      <c r="D37">
        <v>23.47</v>
      </c>
    </row>
    <row r="38" spans="1:4" x14ac:dyDescent="0.25">
      <c r="A38" t="s">
        <v>40</v>
      </c>
      <c r="B38">
        <v>57</v>
      </c>
      <c r="C38">
        <v>57</v>
      </c>
      <c r="D38">
        <v>23.44</v>
      </c>
    </row>
    <row r="39" spans="1:4" x14ac:dyDescent="0.25">
      <c r="A39" t="s">
        <v>41</v>
      </c>
      <c r="B39">
        <v>59</v>
      </c>
      <c r="C39">
        <v>59</v>
      </c>
      <c r="D39">
        <v>23.96</v>
      </c>
    </row>
    <row r="40" spans="1:4" x14ac:dyDescent="0.25">
      <c r="A40" t="s">
        <v>42</v>
      </c>
      <c r="B40">
        <v>53</v>
      </c>
      <c r="C40">
        <v>53</v>
      </c>
      <c r="D40">
        <v>23.76</v>
      </c>
    </row>
    <row r="41" spans="1:4" x14ac:dyDescent="0.25">
      <c r="A41" t="s">
        <v>43</v>
      </c>
      <c r="B41">
        <v>55</v>
      </c>
      <c r="C41">
        <v>55</v>
      </c>
      <c r="D41">
        <v>21.18</v>
      </c>
    </row>
    <row r="42" spans="1:4" x14ac:dyDescent="0.25">
      <c r="A42" t="s">
        <v>44</v>
      </c>
      <c r="B42">
        <v>52</v>
      </c>
      <c r="C42">
        <v>52</v>
      </c>
      <c r="D42">
        <v>23.46</v>
      </c>
    </row>
    <row r="43" spans="1:4" x14ac:dyDescent="0.25">
      <c r="A43" t="s">
        <v>45</v>
      </c>
      <c r="B43">
        <v>53</v>
      </c>
      <c r="C43">
        <v>53</v>
      </c>
      <c r="D43">
        <v>22.5</v>
      </c>
    </row>
    <row r="44" spans="1:4" x14ac:dyDescent="0.25">
      <c r="A44" t="s">
        <v>46</v>
      </c>
      <c r="B44">
        <v>55.5</v>
      </c>
      <c r="C44">
        <v>55.5</v>
      </c>
      <c r="D44">
        <v>25.88</v>
      </c>
    </row>
    <row r="45" spans="1:4" x14ac:dyDescent="0.25">
      <c r="A45" t="s">
        <v>47</v>
      </c>
      <c r="B45">
        <v>55</v>
      </c>
      <c r="C45">
        <v>54</v>
      </c>
      <c r="D45">
        <v>23.38</v>
      </c>
    </row>
    <row r="46" spans="1:4" x14ac:dyDescent="0.25">
      <c r="A46" t="s">
        <v>48</v>
      </c>
      <c r="B46">
        <v>53</v>
      </c>
      <c r="C46">
        <v>53</v>
      </c>
      <c r="D46">
        <v>21.81</v>
      </c>
    </row>
    <row r="47" spans="1:4" x14ac:dyDescent="0.25">
      <c r="A47" t="s">
        <v>49</v>
      </c>
      <c r="B47">
        <v>55</v>
      </c>
      <c r="C47">
        <v>55</v>
      </c>
      <c r="D47">
        <v>23.85</v>
      </c>
    </row>
    <row r="48" spans="1:4" x14ac:dyDescent="0.25">
      <c r="A48" t="s">
        <v>50</v>
      </c>
      <c r="B48">
        <v>57</v>
      </c>
      <c r="C48">
        <v>56</v>
      </c>
      <c r="D48">
        <v>24.12</v>
      </c>
    </row>
    <row r="49" spans="1:4" x14ac:dyDescent="0.25">
      <c r="A49" t="s">
        <v>51</v>
      </c>
      <c r="B49">
        <v>58</v>
      </c>
      <c r="C49">
        <v>58</v>
      </c>
      <c r="D49">
        <v>24.94</v>
      </c>
    </row>
    <row r="50" spans="1:4" x14ac:dyDescent="0.25">
      <c r="A50" t="s">
        <v>52</v>
      </c>
      <c r="B50">
        <v>52</v>
      </c>
      <c r="C50">
        <v>52</v>
      </c>
      <c r="D50">
        <v>23.02</v>
      </c>
    </row>
    <row r="51" spans="1:4" x14ac:dyDescent="0.25">
      <c r="A51" t="s">
        <v>53</v>
      </c>
      <c r="B51">
        <v>55</v>
      </c>
      <c r="C51">
        <v>55</v>
      </c>
      <c r="D51">
        <v>25.9</v>
      </c>
    </row>
    <row r="52" spans="1:4" x14ac:dyDescent="0.25">
      <c r="A52" t="s">
        <v>54</v>
      </c>
      <c r="B52">
        <v>56</v>
      </c>
      <c r="C52">
        <v>56</v>
      </c>
      <c r="D52">
        <v>25.15</v>
      </c>
    </row>
  </sheetData>
  <pageMargins left="0" right="0" top="0.39370000000000005" bottom="0.39370000000000005" header="0" footer="0"/>
  <headerFooter>
    <oddHeader>&amp;C&amp;A</oddHeader>
    <oddFooter>&amp;CPage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D4B5-ED1B-4C0E-AB63-B4A19E58E91D}">
  <dimension ref="A1:G52"/>
  <sheetViews>
    <sheetView workbookViewId="0"/>
  </sheetViews>
  <sheetFormatPr defaultRowHeight="15" x14ac:dyDescent="0.25"/>
  <cols>
    <col min="1" max="1" width="17.140625" customWidth="1"/>
    <col min="2" max="4" width="12.140625" customWidth="1"/>
    <col min="5" max="5" width="27.7109375" customWidth="1"/>
    <col min="6" max="7" width="12.140625" customWidth="1"/>
    <col min="8" max="8" width="9.140625" customWidth="1"/>
  </cols>
  <sheetData>
    <row r="1" spans="1:4" x14ac:dyDescent="0.25">
      <c r="A1" t="s">
        <v>55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56</v>
      </c>
      <c r="B3">
        <v>56</v>
      </c>
      <c r="C3">
        <v>55</v>
      </c>
      <c r="D3">
        <v>22.76</v>
      </c>
    </row>
    <row r="4" spans="1:4" x14ac:dyDescent="0.25">
      <c r="A4" t="s">
        <v>57</v>
      </c>
      <c r="B4">
        <v>53</v>
      </c>
      <c r="C4">
        <v>53</v>
      </c>
      <c r="D4">
        <v>23.03</v>
      </c>
    </row>
    <row r="5" spans="1:4" x14ac:dyDescent="0.25">
      <c r="A5" t="s">
        <v>58</v>
      </c>
      <c r="B5">
        <v>55</v>
      </c>
      <c r="C5">
        <v>55</v>
      </c>
      <c r="D5">
        <v>23.97</v>
      </c>
    </row>
    <row r="6" spans="1:4" x14ac:dyDescent="0.25">
      <c r="A6" t="s">
        <v>59</v>
      </c>
      <c r="B6">
        <v>58</v>
      </c>
      <c r="C6">
        <v>58</v>
      </c>
      <c r="D6">
        <v>23.56</v>
      </c>
    </row>
    <row r="7" spans="1:4" x14ac:dyDescent="0.25">
      <c r="A7" t="s">
        <v>60</v>
      </c>
      <c r="B7">
        <v>56</v>
      </c>
      <c r="C7">
        <v>56</v>
      </c>
      <c r="D7">
        <v>22.26</v>
      </c>
    </row>
    <row r="8" spans="1:4" x14ac:dyDescent="0.25">
      <c r="A8" t="s">
        <v>61</v>
      </c>
      <c r="B8">
        <v>56</v>
      </c>
      <c r="C8">
        <v>56</v>
      </c>
      <c r="D8">
        <v>22.35</v>
      </c>
    </row>
    <row r="9" spans="1:4" x14ac:dyDescent="0.25">
      <c r="A9" t="s">
        <v>62</v>
      </c>
      <c r="B9">
        <v>56</v>
      </c>
      <c r="C9">
        <v>56</v>
      </c>
      <c r="D9">
        <v>23.35</v>
      </c>
    </row>
    <row r="10" spans="1:4" x14ac:dyDescent="0.25">
      <c r="A10" t="s">
        <v>63</v>
      </c>
      <c r="B10">
        <v>57</v>
      </c>
      <c r="C10">
        <v>57</v>
      </c>
      <c r="D10">
        <v>23.73</v>
      </c>
    </row>
    <row r="11" spans="1:4" x14ac:dyDescent="0.25">
      <c r="A11" t="s">
        <v>64</v>
      </c>
      <c r="B11">
        <v>56</v>
      </c>
      <c r="C11">
        <v>56</v>
      </c>
      <c r="D11">
        <v>25.21</v>
      </c>
    </row>
    <row r="12" spans="1:4" x14ac:dyDescent="0.25">
      <c r="A12" t="s">
        <v>65</v>
      </c>
      <c r="B12">
        <v>56</v>
      </c>
      <c r="C12">
        <v>56</v>
      </c>
      <c r="D12">
        <v>24.35</v>
      </c>
    </row>
    <row r="13" spans="1:4" x14ac:dyDescent="0.25">
      <c r="A13" t="s">
        <v>66</v>
      </c>
      <c r="B13">
        <v>55</v>
      </c>
      <c r="C13">
        <v>55</v>
      </c>
      <c r="D13">
        <v>24.56</v>
      </c>
    </row>
    <row r="14" spans="1:4" x14ac:dyDescent="0.25">
      <c r="A14" t="s">
        <v>67</v>
      </c>
      <c r="B14">
        <v>55</v>
      </c>
      <c r="C14">
        <v>55</v>
      </c>
      <c r="D14">
        <v>22.45</v>
      </c>
    </row>
    <row r="15" spans="1:4" x14ac:dyDescent="0.25">
      <c r="A15" t="s">
        <v>68</v>
      </c>
      <c r="B15">
        <v>55</v>
      </c>
      <c r="C15">
        <v>55</v>
      </c>
      <c r="D15">
        <v>25.5</v>
      </c>
    </row>
    <row r="16" spans="1:4" x14ac:dyDescent="0.25">
      <c r="A16" t="s">
        <v>69</v>
      </c>
      <c r="B16">
        <v>53</v>
      </c>
      <c r="C16">
        <v>53</v>
      </c>
      <c r="D16">
        <v>23.12</v>
      </c>
    </row>
    <row r="17" spans="1:7" x14ac:dyDescent="0.25">
      <c r="A17" t="s">
        <v>70</v>
      </c>
      <c r="B17">
        <v>57</v>
      </c>
      <c r="C17">
        <v>57</v>
      </c>
      <c r="D17">
        <v>23.64</v>
      </c>
    </row>
    <row r="18" spans="1:7" x14ac:dyDescent="0.25">
      <c r="A18" t="s">
        <v>71</v>
      </c>
      <c r="B18">
        <v>55</v>
      </c>
      <c r="C18">
        <v>55</v>
      </c>
      <c r="D18">
        <v>23.71</v>
      </c>
    </row>
    <row r="19" spans="1:7" x14ac:dyDescent="0.25">
      <c r="A19" t="s">
        <v>72</v>
      </c>
      <c r="B19">
        <v>53</v>
      </c>
      <c r="C19">
        <v>53</v>
      </c>
      <c r="D19">
        <v>22.75</v>
      </c>
      <c r="G19" t="s">
        <v>73</v>
      </c>
    </row>
    <row r="20" spans="1:7" x14ac:dyDescent="0.25">
      <c r="A20" t="s">
        <v>74</v>
      </c>
      <c r="B20">
        <v>56</v>
      </c>
      <c r="C20">
        <v>56</v>
      </c>
      <c r="D20">
        <v>25.13</v>
      </c>
    </row>
    <row r="21" spans="1:7" x14ac:dyDescent="0.25">
      <c r="A21" t="s">
        <v>75</v>
      </c>
      <c r="B21">
        <v>58</v>
      </c>
      <c r="C21">
        <v>58</v>
      </c>
      <c r="D21">
        <v>21.8</v>
      </c>
    </row>
    <row r="22" spans="1:7" x14ac:dyDescent="0.25">
      <c r="A22" t="s">
        <v>76</v>
      </c>
      <c r="B22">
        <v>53</v>
      </c>
      <c r="C22">
        <v>52</v>
      </c>
      <c r="D22">
        <v>22.31</v>
      </c>
    </row>
    <row r="23" spans="1:7" x14ac:dyDescent="0.25">
      <c r="A23" t="s">
        <v>77</v>
      </c>
      <c r="B23">
        <v>55</v>
      </c>
      <c r="C23">
        <v>55</v>
      </c>
      <c r="D23">
        <v>23.94</v>
      </c>
    </row>
    <row r="24" spans="1:7" x14ac:dyDescent="0.25">
      <c r="A24" t="s">
        <v>78</v>
      </c>
      <c r="B24">
        <v>56</v>
      </c>
      <c r="C24">
        <v>56</v>
      </c>
      <c r="D24">
        <v>22.44</v>
      </c>
    </row>
    <row r="25" spans="1:7" x14ac:dyDescent="0.25">
      <c r="A25" t="s">
        <v>79</v>
      </c>
      <c r="B25">
        <v>55</v>
      </c>
      <c r="C25">
        <v>55</v>
      </c>
      <c r="D25">
        <v>23.82</v>
      </c>
    </row>
    <row r="26" spans="1:7" x14ac:dyDescent="0.25">
      <c r="A26" t="s">
        <v>80</v>
      </c>
      <c r="B26">
        <v>59</v>
      </c>
      <c r="C26">
        <v>58</v>
      </c>
      <c r="D26">
        <v>24.48</v>
      </c>
    </row>
    <row r="27" spans="1:7" x14ac:dyDescent="0.25">
      <c r="A27" t="s">
        <v>81</v>
      </c>
      <c r="B27">
        <v>56</v>
      </c>
      <c r="C27">
        <v>56</v>
      </c>
      <c r="D27">
        <v>24.35</v>
      </c>
    </row>
    <row r="28" spans="1:7" x14ac:dyDescent="0.25">
      <c r="A28" t="s">
        <v>82</v>
      </c>
      <c r="B28">
        <v>55</v>
      </c>
      <c r="C28">
        <v>55</v>
      </c>
      <c r="D28">
        <v>23.1</v>
      </c>
    </row>
    <row r="29" spans="1:7" x14ac:dyDescent="0.25">
      <c r="A29" t="s">
        <v>83</v>
      </c>
      <c r="B29">
        <v>56</v>
      </c>
      <c r="C29">
        <v>55</v>
      </c>
      <c r="D29">
        <v>21.5</v>
      </c>
    </row>
    <row r="30" spans="1:7" x14ac:dyDescent="0.25">
      <c r="A30" t="s">
        <v>84</v>
      </c>
      <c r="B30">
        <v>55</v>
      </c>
      <c r="C30">
        <v>55</v>
      </c>
      <c r="D30">
        <v>24.34</v>
      </c>
    </row>
    <row r="31" spans="1:7" x14ac:dyDescent="0.25">
      <c r="A31" t="s">
        <v>85</v>
      </c>
      <c r="B31">
        <v>55</v>
      </c>
      <c r="C31">
        <v>55</v>
      </c>
      <c r="D31">
        <v>25.35</v>
      </c>
    </row>
    <row r="32" spans="1:7" x14ac:dyDescent="0.25">
      <c r="A32" t="s">
        <v>86</v>
      </c>
      <c r="B32">
        <v>55</v>
      </c>
      <c r="C32">
        <v>55</v>
      </c>
      <c r="D32">
        <v>22.97</v>
      </c>
    </row>
    <row r="33" spans="1:4" x14ac:dyDescent="0.25">
      <c r="A33" t="s">
        <v>87</v>
      </c>
      <c r="B33">
        <v>53</v>
      </c>
      <c r="C33">
        <v>53</v>
      </c>
      <c r="D33">
        <v>22.06</v>
      </c>
    </row>
    <row r="34" spans="1:4" x14ac:dyDescent="0.25">
      <c r="A34" t="s">
        <v>88</v>
      </c>
      <c r="B34">
        <v>53</v>
      </c>
      <c r="C34">
        <v>52</v>
      </c>
      <c r="D34">
        <v>24.46</v>
      </c>
    </row>
    <row r="35" spans="1:4" x14ac:dyDescent="0.25">
      <c r="A35" t="s">
        <v>89</v>
      </c>
      <c r="B35">
        <v>55</v>
      </c>
      <c r="C35">
        <v>55</v>
      </c>
      <c r="D35">
        <v>23.77</v>
      </c>
    </row>
    <row r="36" spans="1:4" x14ac:dyDescent="0.25">
      <c r="A36" t="s">
        <v>90</v>
      </c>
      <c r="B36">
        <v>59</v>
      </c>
      <c r="C36">
        <v>58</v>
      </c>
      <c r="D36">
        <v>25.22</v>
      </c>
    </row>
    <row r="37" spans="1:4" x14ac:dyDescent="0.25">
      <c r="A37" t="s">
        <v>91</v>
      </c>
      <c r="B37">
        <v>56</v>
      </c>
      <c r="C37">
        <v>56</v>
      </c>
      <c r="D37">
        <v>23.89</v>
      </c>
    </row>
    <row r="38" spans="1:4" x14ac:dyDescent="0.25">
      <c r="A38" t="s">
        <v>92</v>
      </c>
      <c r="B38">
        <v>55</v>
      </c>
      <c r="C38">
        <v>55</v>
      </c>
      <c r="D38">
        <v>22.62</v>
      </c>
    </row>
    <row r="39" spans="1:4" x14ac:dyDescent="0.25">
      <c r="A39" t="s">
        <v>93</v>
      </c>
      <c r="B39">
        <v>55</v>
      </c>
      <c r="C39">
        <v>54</v>
      </c>
      <c r="D39">
        <v>21.46</v>
      </c>
    </row>
    <row r="40" spans="1:4" x14ac:dyDescent="0.25">
      <c r="A40" t="s">
        <v>94</v>
      </c>
      <c r="B40">
        <v>58</v>
      </c>
      <c r="C40">
        <v>58</v>
      </c>
      <c r="D40">
        <v>23</v>
      </c>
    </row>
    <row r="41" spans="1:4" x14ac:dyDescent="0.25">
      <c r="A41" t="s">
        <v>95</v>
      </c>
      <c r="B41">
        <v>52</v>
      </c>
      <c r="C41">
        <v>51</v>
      </c>
      <c r="D41">
        <v>22.36</v>
      </c>
    </row>
    <row r="42" spans="1:4" x14ac:dyDescent="0.25">
      <c r="A42" t="s">
        <v>96</v>
      </c>
      <c r="B42">
        <v>51</v>
      </c>
      <c r="C42">
        <v>51</v>
      </c>
      <c r="D42">
        <v>21.79</v>
      </c>
    </row>
    <row r="43" spans="1:4" x14ac:dyDescent="0.25">
      <c r="A43" t="s">
        <v>97</v>
      </c>
      <c r="B43">
        <v>58</v>
      </c>
      <c r="C43">
        <v>58</v>
      </c>
      <c r="D43">
        <v>26.09</v>
      </c>
    </row>
    <row r="44" spans="1:4" x14ac:dyDescent="0.25">
      <c r="A44" t="s">
        <v>98</v>
      </c>
      <c r="B44">
        <v>52</v>
      </c>
      <c r="C44">
        <v>52</v>
      </c>
      <c r="D44">
        <v>23.78</v>
      </c>
    </row>
    <row r="45" spans="1:4" x14ac:dyDescent="0.25">
      <c r="A45" t="s">
        <v>99</v>
      </c>
      <c r="B45">
        <v>53</v>
      </c>
      <c r="C45">
        <v>53</v>
      </c>
      <c r="D45">
        <v>25.3</v>
      </c>
    </row>
    <row r="46" spans="1:4" x14ac:dyDescent="0.25">
      <c r="A46" t="s">
        <v>100</v>
      </c>
      <c r="B46">
        <v>55</v>
      </c>
      <c r="C46">
        <v>55</v>
      </c>
      <c r="D46">
        <v>23.85</v>
      </c>
    </row>
    <row r="47" spans="1:4" x14ac:dyDescent="0.25">
      <c r="A47" t="s">
        <v>101</v>
      </c>
      <c r="B47">
        <v>56</v>
      </c>
      <c r="C47">
        <v>55</v>
      </c>
      <c r="D47">
        <v>23.94</v>
      </c>
    </row>
    <row r="48" spans="1:4" x14ac:dyDescent="0.25">
      <c r="A48" t="s">
        <v>102</v>
      </c>
      <c r="B48">
        <v>58</v>
      </c>
      <c r="C48">
        <v>58</v>
      </c>
      <c r="D48">
        <v>24.46</v>
      </c>
    </row>
    <row r="49" spans="1:4" x14ac:dyDescent="0.25">
      <c r="A49" t="s">
        <v>103</v>
      </c>
      <c r="B49">
        <v>54</v>
      </c>
      <c r="C49">
        <v>53</v>
      </c>
      <c r="D49">
        <v>21.7</v>
      </c>
    </row>
    <row r="50" spans="1:4" x14ac:dyDescent="0.25">
      <c r="A50" t="s">
        <v>104</v>
      </c>
      <c r="B50">
        <v>58</v>
      </c>
      <c r="C50">
        <v>57</v>
      </c>
      <c r="D50">
        <v>25.26</v>
      </c>
    </row>
    <row r="51" spans="1:4" x14ac:dyDescent="0.25">
      <c r="A51" t="s">
        <v>105</v>
      </c>
      <c r="B51">
        <v>54</v>
      </c>
      <c r="C51">
        <v>53</v>
      </c>
      <c r="D51">
        <v>24</v>
      </c>
    </row>
    <row r="52" spans="1:4" x14ac:dyDescent="0.25">
      <c r="A52" t="s">
        <v>106</v>
      </c>
      <c r="B52">
        <v>58</v>
      </c>
      <c r="C52">
        <v>56</v>
      </c>
      <c r="D52">
        <v>24.41</v>
      </c>
    </row>
  </sheetData>
  <pageMargins left="0" right="0" top="0.39370000000000005" bottom="0.39370000000000005" header="0" footer="0"/>
  <headerFooter>
    <oddHeader>&amp;C&amp;A</oddHeader>
    <oddFooter>&amp;CPage &amp;P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4322-3134-423F-A6C8-2CB9530FF811}">
  <dimension ref="A1:BM124"/>
  <sheetViews>
    <sheetView workbookViewId="0"/>
  </sheetViews>
  <sheetFormatPr defaultRowHeight="15" outlineLevelCol="1" x14ac:dyDescent="0.25"/>
  <cols>
    <col min="1" max="1" width="13.28515625" customWidth="1"/>
    <col min="2" max="3" width="11.85546875" customWidth="1"/>
    <col min="4" max="9" width="18.140625" customWidth="1"/>
    <col min="10" max="10" width="62.85546875" customWidth="1"/>
    <col min="17" max="65" width="9.140625" outlineLevel="1"/>
  </cols>
  <sheetData>
    <row r="1" spans="1:10" ht="18.75" x14ac:dyDescent="0.3">
      <c r="A1" s="40" t="str">
        <f>"True Clusters — sliding window, "&amp;$B$3&amp;" lb spine / "&amp;$B$4&amp;" g weight"</f>
        <v>True Clusters — sliding window, 3 lb spine / 0.5 g weight</v>
      </c>
    </row>
    <row r="2" spans="1:10" x14ac:dyDescent="0.25">
      <c r="A2" s="2" t="s">
        <v>184</v>
      </c>
    </row>
    <row r="3" spans="1:10" x14ac:dyDescent="0.25">
      <c r="A3" s="3" t="s">
        <v>185</v>
      </c>
      <c r="B3" s="11">
        <f>ANALYSIS!$G$5</f>
        <v>3</v>
      </c>
      <c r="D3" s="3" t="s">
        <v>203</v>
      </c>
      <c r="E3" s="20">
        <f>COUNTIF($B$8:$B$22,"&gt;="&amp;ANALYSIS!$G$7)</f>
        <v>12</v>
      </c>
      <c r="F3" s="3" t="s">
        <v>205</v>
      </c>
      <c r="G3" s="20">
        <f>MAX($B$8:$B$22)</f>
        <v>14</v>
      </c>
      <c r="H3" s="3" t="s">
        <v>207</v>
      </c>
      <c r="I3" s="20">
        <f>COUNTIFS($B$8:$B$22,"&gt;="&amp;ANALYSIS!$G$7,$I$8:$I$22,"Yes")</f>
        <v>7</v>
      </c>
    </row>
    <row r="4" spans="1:10" x14ac:dyDescent="0.25">
      <c r="A4" s="3" t="s">
        <v>186</v>
      </c>
      <c r="B4" s="11">
        <f>ANALYSIS!$G$6</f>
        <v>0.5</v>
      </c>
      <c r="D4" s="3" t="s">
        <v>204</v>
      </c>
      <c r="E4" s="20">
        <f>SUMIF($B$8:$B$22,"&gt;="&amp;ANALYSIS!$G$7,$B$8:$B$22)</f>
        <v>79</v>
      </c>
      <c r="F4" s="3" t="s">
        <v>206</v>
      </c>
      <c r="G4" s="20">
        <f>COUNTA($A$25:$A$124)-SUM($B$8:$B$22)</f>
        <v>15</v>
      </c>
      <c r="H4" s="3" t="s">
        <v>208</v>
      </c>
      <c r="I4" s="20">
        <f>SUMIFS($B$8:$B$22,$B$8:$B$22,"&gt;="&amp;ANALYSIS!$G$7,$I$8:$I$22,"Yes")</f>
        <v>43</v>
      </c>
    </row>
    <row r="6" spans="1:10" ht="15.75" x14ac:dyDescent="0.25">
      <c r="A6" s="27" t="s">
        <v>198</v>
      </c>
    </row>
    <row r="7" spans="1:10" x14ac:dyDescent="0.25">
      <c r="A7" s="43" t="s">
        <v>188</v>
      </c>
      <c r="B7" s="44" t="s">
        <v>142</v>
      </c>
      <c r="C7" s="44" t="s">
        <v>143</v>
      </c>
      <c r="D7" s="44" t="s">
        <v>144</v>
      </c>
      <c r="E7" s="44" t="s">
        <v>145</v>
      </c>
      <c r="F7" s="44" t="s">
        <v>199</v>
      </c>
      <c r="G7" s="44" t="s">
        <v>200</v>
      </c>
      <c r="H7" s="44" t="s">
        <v>201</v>
      </c>
      <c r="I7" s="44" t="s">
        <v>149</v>
      </c>
      <c r="J7" s="45" t="s">
        <v>202</v>
      </c>
    </row>
    <row r="8" spans="1:10" x14ac:dyDescent="0.25">
      <c r="A8" s="46">
        <v>1</v>
      </c>
      <c r="B8" s="47">
        <f>COUNTIF($D$25:$D$124,$A8)</f>
        <v>14</v>
      </c>
      <c r="C8" s="48">
        <f>_xlfn.MINIFS($B$25:$B$124,$D$25:$D$124,$A8)</f>
        <v>55</v>
      </c>
      <c r="D8" s="48">
        <f>_xlfn.MAXIFS($B$25:$B$124,$D$25:$D$124,$A8)</f>
        <v>57.5</v>
      </c>
      <c r="E8" s="48">
        <f>D8-C8</f>
        <v>2.5</v>
      </c>
      <c r="F8" s="48">
        <f>_xlfn.MINIFS($C$25:$C$124,$D$25:$D$124,$A8)</f>
        <v>23.85</v>
      </c>
      <c r="G8" s="48">
        <f>_xlfn.MAXIFS($C$25:$C$124,$D$25:$D$124,$A8)</f>
        <v>24.35</v>
      </c>
      <c r="H8" s="48">
        <f>G8-F8</f>
        <v>0.5</v>
      </c>
      <c r="I8" s="49" t="str">
        <f>IF(AND(C8&gt;=ANALYSIS!$B$5,D8&lt;=ANALYSIS!$B$6),"Yes","No")</f>
        <v>Yes</v>
      </c>
      <c r="J8" s="50" t="str" cm="1">
        <f t="array" ref="J8">_xlfn.TEXTJOIN(", ",TRUE,IF($D$25:$D$124=$A8,$A$25:$A$124,""))</f>
        <v>19-04, 19-06, 19-12, 19-25, 19-45, 19-46, 20-03, 20-10, 20-21, 20-25, 20-28, 20-35, 20-44, 20-45</v>
      </c>
    </row>
    <row r="9" spans="1:10" x14ac:dyDescent="0.25">
      <c r="A9" s="46">
        <f>A8+1</f>
        <v>2</v>
      </c>
      <c r="B9" s="47">
        <f t="shared" ref="B9:B22" si="0">COUNTIF($D$25:$D$124,$A9)</f>
        <v>11</v>
      </c>
      <c r="C9" s="48">
        <f t="shared" ref="C9:C22" si="1">_xlfn.MINIFS($B$25:$B$124,$D$25:$D$124,$A9)</f>
        <v>53</v>
      </c>
      <c r="D9" s="48">
        <f t="shared" ref="D9:D22" si="2">_xlfn.MAXIFS($B$25:$B$124,$D$25:$D$124,$A9)</f>
        <v>56</v>
      </c>
      <c r="E9" s="48">
        <f t="shared" ref="E9:E22" si="3">D9-C9</f>
        <v>3</v>
      </c>
      <c r="F9" s="48">
        <f t="shared" ref="F9:F22" si="4">_xlfn.MINIFS($C$25:$C$124,$D$25:$D$124,$A9)</f>
        <v>23.03</v>
      </c>
      <c r="G9" s="48">
        <f t="shared" ref="G9:G22" si="5">_xlfn.MAXIFS($C$25:$C$124,$D$25:$D$124,$A9)</f>
        <v>23.49</v>
      </c>
      <c r="H9" s="48">
        <f t="shared" ref="H9:H22" si="6">G9-F9</f>
        <v>0.4599999999999973</v>
      </c>
      <c r="I9" s="49" t="str">
        <f>IF(AND(C9&gt;=ANALYSIS!$B$5,D9&lt;=ANALYSIS!$B$6),"Yes","No")</f>
        <v>No</v>
      </c>
      <c r="J9" s="50" t="str" cm="1">
        <f t="array" ref="J9">_xlfn.TEXTJOIN(", ",TRUE,IF($D$25:$D$124=$A9,$A$25:$A$124,""))</f>
        <v>19-01, 19-14, 19-15, 19-22, 19-28, 19-35, 19-43, 20-02, 20-07, 20-14, 20-26</v>
      </c>
    </row>
    <row r="10" spans="1:10" x14ac:dyDescent="0.25">
      <c r="A10" s="46">
        <f t="shared" ref="A10:A22" si="7">A9+1</f>
        <v>3</v>
      </c>
      <c r="B10" s="47">
        <f t="shared" si="0"/>
        <v>9</v>
      </c>
      <c r="C10" s="48">
        <f t="shared" si="1"/>
        <v>55</v>
      </c>
      <c r="D10" s="48">
        <f t="shared" si="2"/>
        <v>57.5</v>
      </c>
      <c r="E10" s="48">
        <f t="shared" si="3"/>
        <v>2.5</v>
      </c>
      <c r="F10" s="48">
        <f t="shared" si="4"/>
        <v>25.09</v>
      </c>
      <c r="G10" s="48">
        <f t="shared" si="5"/>
        <v>25.52</v>
      </c>
      <c r="H10" s="48">
        <f t="shared" si="6"/>
        <v>0.42999999999999972</v>
      </c>
      <c r="I10" s="49" t="str">
        <f>IF(AND(C10&gt;=ANALYSIS!$B$5,D10&lt;=ANALYSIS!$B$6),"Yes","No")</f>
        <v>Yes</v>
      </c>
      <c r="J10" s="50" t="str" cm="1">
        <f t="array" ref="J10">_xlfn.TEXTJOIN(", ",TRUE,IF($D$25:$D$124=$A10,$A$25:$A$124,""))</f>
        <v>19-17, 19-23, 19-31, 19-50, 20-09, 20-13, 20-18, 20-29, 20-48</v>
      </c>
    </row>
    <row r="11" spans="1:10" x14ac:dyDescent="0.25">
      <c r="A11" s="46">
        <f t="shared" si="7"/>
        <v>4</v>
      </c>
      <c r="B11" s="47">
        <f t="shared" si="0"/>
        <v>8</v>
      </c>
      <c r="C11" s="48">
        <f t="shared" si="1"/>
        <v>53</v>
      </c>
      <c r="D11" s="48">
        <f t="shared" si="2"/>
        <v>56</v>
      </c>
      <c r="E11" s="48">
        <f t="shared" si="3"/>
        <v>3</v>
      </c>
      <c r="F11" s="48">
        <f t="shared" si="4"/>
        <v>21.49</v>
      </c>
      <c r="G11" s="48">
        <f t="shared" si="5"/>
        <v>21.93</v>
      </c>
      <c r="H11" s="48">
        <f t="shared" si="6"/>
        <v>0.44000000000000128</v>
      </c>
      <c r="I11" s="49" t="str">
        <f>IF(AND(C11&gt;=ANALYSIS!$B$5,D11&lt;=ANALYSIS!$B$6),"Yes","No")</f>
        <v>No</v>
      </c>
      <c r="J11" s="50" t="str" cm="1">
        <f t="array" ref="J11">_xlfn.TEXTJOIN(", ",TRUE,IF($D$25:$D$124=$A11,$A$25:$A$124,""))</f>
        <v>19-05, 19-08, 19-13, 19-16, 19-19, 19-44, 20-27, 20-47</v>
      </c>
    </row>
    <row r="12" spans="1:10" x14ac:dyDescent="0.25">
      <c r="A12" s="46">
        <f t="shared" si="7"/>
        <v>5</v>
      </c>
      <c r="B12" s="47">
        <f t="shared" si="0"/>
        <v>7</v>
      </c>
      <c r="C12" s="48">
        <f t="shared" si="1"/>
        <v>53</v>
      </c>
      <c r="D12" s="48">
        <f t="shared" si="2"/>
        <v>56</v>
      </c>
      <c r="E12" s="48">
        <f t="shared" si="3"/>
        <v>3</v>
      </c>
      <c r="F12" s="48">
        <f t="shared" si="4"/>
        <v>22.06</v>
      </c>
      <c r="G12" s="48">
        <f t="shared" si="5"/>
        <v>22.5</v>
      </c>
      <c r="H12" s="48">
        <f t="shared" si="6"/>
        <v>0.44000000000000128</v>
      </c>
      <c r="I12" s="49" t="str">
        <f>IF(AND(C12&gt;=ANALYSIS!$B$5,D12&lt;=ANALYSIS!$B$6),"Yes","No")</f>
        <v>No</v>
      </c>
      <c r="J12" s="50" t="str" cm="1">
        <f t="array" ref="J12">_xlfn.TEXTJOIN(", ",TRUE,IF($D$25:$D$124=$A12,$A$25:$A$124,""))</f>
        <v>19-34, 19-41, 20-05, 20-06, 20-12, 20-22, 20-31</v>
      </c>
    </row>
    <row r="13" spans="1:10" x14ac:dyDescent="0.25">
      <c r="A13" s="46">
        <f t="shared" si="7"/>
        <v>6</v>
      </c>
      <c r="B13" s="47">
        <f t="shared" si="0"/>
        <v>6</v>
      </c>
      <c r="C13" s="48">
        <f t="shared" si="1"/>
        <v>52</v>
      </c>
      <c r="D13" s="48">
        <f t="shared" si="2"/>
        <v>55</v>
      </c>
      <c r="E13" s="48">
        <f t="shared" si="3"/>
        <v>3</v>
      </c>
      <c r="F13" s="48">
        <f t="shared" si="4"/>
        <v>23.46</v>
      </c>
      <c r="G13" s="48">
        <f t="shared" si="5"/>
        <v>23.82</v>
      </c>
      <c r="H13" s="48">
        <f t="shared" si="6"/>
        <v>0.35999999999999943</v>
      </c>
      <c r="I13" s="49" t="str">
        <f>IF(AND(C13&gt;=ANALYSIS!$B$5,D13&lt;=ANALYSIS!$B$6),"Yes","No")</f>
        <v>No</v>
      </c>
      <c r="J13" s="50" t="str" cm="1">
        <f t="array" ref="J13">_xlfn.TEXTJOIN(", ",TRUE,IF($D$25:$D$124=$A13,$A$25:$A$124,""))</f>
        <v>19-38, 19-40, 20-16, 20-23, 20-33, 20-42</v>
      </c>
    </row>
    <row r="14" spans="1:10" x14ac:dyDescent="0.25">
      <c r="A14" s="46">
        <f t="shared" si="7"/>
        <v>7</v>
      </c>
      <c r="B14" s="47">
        <f t="shared" si="0"/>
        <v>6</v>
      </c>
      <c r="C14" s="48">
        <f t="shared" si="1"/>
        <v>55</v>
      </c>
      <c r="D14" s="48">
        <f t="shared" si="2"/>
        <v>58</v>
      </c>
      <c r="E14" s="48">
        <f t="shared" si="3"/>
        <v>3</v>
      </c>
      <c r="F14" s="48">
        <f t="shared" si="4"/>
        <v>22.62</v>
      </c>
      <c r="G14" s="48">
        <f t="shared" si="5"/>
        <v>23</v>
      </c>
      <c r="H14" s="48">
        <f t="shared" si="6"/>
        <v>0.37999999999999901</v>
      </c>
      <c r="I14" s="49" t="str">
        <f>IF(AND(C14&gt;=ANALYSIS!$B$5,D14&lt;=ANALYSIS!$B$6),"Yes","No")</f>
        <v>Yes</v>
      </c>
      <c r="J14" s="50" t="str" cm="1">
        <f t="array" ref="J14">_xlfn.TEXTJOIN(", ",TRUE,IF($D$25:$D$124=$A14,$A$25:$A$124,""))</f>
        <v>19-20, 19-32, 20-01, 20-30, 20-36, 20-38</v>
      </c>
    </row>
    <row r="15" spans="1:10" x14ac:dyDescent="0.25">
      <c r="A15" s="46">
        <f t="shared" si="7"/>
        <v>8</v>
      </c>
      <c r="B15" s="47">
        <f t="shared" si="0"/>
        <v>4</v>
      </c>
      <c r="C15" s="48">
        <f t="shared" si="1"/>
        <v>50</v>
      </c>
      <c r="D15" s="48">
        <f t="shared" si="2"/>
        <v>53</v>
      </c>
      <c r="E15" s="48">
        <f t="shared" si="3"/>
        <v>3</v>
      </c>
      <c r="F15" s="48">
        <f t="shared" si="4"/>
        <v>22.67</v>
      </c>
      <c r="G15" s="48">
        <f t="shared" si="5"/>
        <v>23.14</v>
      </c>
      <c r="H15" s="48">
        <f t="shared" si="6"/>
        <v>0.46999999999999886</v>
      </c>
      <c r="I15" s="49" t="str">
        <f>IF(AND(C15&gt;=ANALYSIS!$B$5,D15&lt;=ANALYSIS!$B$6),"Yes","No")</f>
        <v>No</v>
      </c>
      <c r="J15" s="50" t="str" cm="1">
        <f t="array" ref="J15">_xlfn.TEXTJOIN(", ",TRUE,IF($D$25:$D$124=$A15,$A$25:$A$124,""))</f>
        <v>19-09, 19-11, 19-48, 20-17</v>
      </c>
    </row>
    <row r="16" spans="1:10" x14ac:dyDescent="0.25">
      <c r="A16" s="46">
        <f t="shared" si="7"/>
        <v>9</v>
      </c>
      <c r="B16" s="47">
        <f t="shared" si="0"/>
        <v>4</v>
      </c>
      <c r="C16" s="48">
        <f t="shared" si="1"/>
        <v>57</v>
      </c>
      <c r="D16" s="48">
        <f t="shared" si="2"/>
        <v>58</v>
      </c>
      <c r="E16" s="48">
        <f t="shared" si="3"/>
        <v>1</v>
      </c>
      <c r="F16" s="48">
        <f t="shared" si="4"/>
        <v>23.44</v>
      </c>
      <c r="G16" s="48">
        <f t="shared" si="5"/>
        <v>23.73</v>
      </c>
      <c r="H16" s="48">
        <f t="shared" si="6"/>
        <v>0.28999999999999915</v>
      </c>
      <c r="I16" s="49" t="str">
        <f>IF(AND(C16&gt;=ANALYSIS!$B$5,D16&lt;=ANALYSIS!$B$6),"Yes","No")</f>
        <v>Yes</v>
      </c>
      <c r="J16" s="50" t="str" cm="1">
        <f t="array" ref="J16">_xlfn.TEXTJOIN(", ",TRUE,IF($D$25:$D$124=$A16,$A$25:$A$124,""))</f>
        <v>19-36, 20-04, 20-08, 20-15</v>
      </c>
    </row>
    <row r="17" spans="1:65" x14ac:dyDescent="0.25">
      <c r="A17" s="46">
        <f t="shared" si="7"/>
        <v>10</v>
      </c>
      <c r="B17" s="47">
        <f t="shared" si="0"/>
        <v>4</v>
      </c>
      <c r="C17" s="48">
        <f t="shared" si="1"/>
        <v>55</v>
      </c>
      <c r="D17" s="48">
        <f t="shared" si="2"/>
        <v>58</v>
      </c>
      <c r="E17" s="48">
        <f t="shared" si="3"/>
        <v>3</v>
      </c>
      <c r="F17" s="48">
        <f t="shared" si="4"/>
        <v>24.56</v>
      </c>
      <c r="G17" s="48">
        <f t="shared" si="5"/>
        <v>24.94</v>
      </c>
      <c r="H17" s="48">
        <f t="shared" si="6"/>
        <v>0.38000000000000256</v>
      </c>
      <c r="I17" s="49" t="str">
        <f>IF(AND(C17&gt;=ANALYSIS!$B$5,D17&lt;=ANALYSIS!$B$6),"Yes","No")</f>
        <v>Yes</v>
      </c>
      <c r="J17" s="50" t="str" cm="1">
        <f t="array" ref="J17">_xlfn.TEXTJOIN(", ",TRUE,IF($D$25:$D$124=$A17,$A$25:$A$124,""))</f>
        <v>19-02, 19-10, 19-47, 20-11</v>
      </c>
    </row>
    <row r="18" spans="1:65" x14ac:dyDescent="0.25">
      <c r="A18" s="46">
        <f t="shared" si="7"/>
        <v>11</v>
      </c>
      <c r="B18" s="47">
        <f t="shared" si="0"/>
        <v>3</v>
      </c>
      <c r="C18" s="48">
        <f t="shared" si="1"/>
        <v>56</v>
      </c>
      <c r="D18" s="48">
        <f t="shared" si="2"/>
        <v>59</v>
      </c>
      <c r="E18" s="48">
        <f t="shared" si="3"/>
        <v>3</v>
      </c>
      <c r="F18" s="48">
        <f t="shared" si="4"/>
        <v>25.62</v>
      </c>
      <c r="G18" s="48">
        <f t="shared" si="5"/>
        <v>26.09</v>
      </c>
      <c r="H18" s="48">
        <f t="shared" si="6"/>
        <v>0.46999999999999886</v>
      </c>
      <c r="I18" s="49" t="str">
        <f>IF(AND(C18&gt;=ANALYSIS!$B$5,D18&lt;=ANALYSIS!$B$6),"Yes","No")</f>
        <v>Yes</v>
      </c>
      <c r="J18" s="50" t="str" cm="1">
        <f t="array" ref="J18">_xlfn.TEXTJOIN(", ",TRUE,IF($D$25:$D$124=$A18,$A$25:$A$124,""))</f>
        <v>19-21, 19-27, 20-41</v>
      </c>
    </row>
    <row r="19" spans="1:65" x14ac:dyDescent="0.25">
      <c r="A19" s="46">
        <f t="shared" si="7"/>
        <v>12</v>
      </c>
      <c r="B19" s="47">
        <f t="shared" si="0"/>
        <v>3</v>
      </c>
      <c r="C19" s="48">
        <f t="shared" si="1"/>
        <v>57</v>
      </c>
      <c r="D19" s="48">
        <f t="shared" si="2"/>
        <v>58.5</v>
      </c>
      <c r="E19" s="48">
        <f t="shared" si="3"/>
        <v>1.5</v>
      </c>
      <c r="F19" s="48">
        <f t="shared" si="4"/>
        <v>24.41</v>
      </c>
      <c r="G19" s="48">
        <f t="shared" si="5"/>
        <v>24.48</v>
      </c>
      <c r="H19" s="48">
        <f t="shared" si="6"/>
        <v>7.0000000000000284E-2</v>
      </c>
      <c r="I19" s="49" t="str">
        <f>IF(AND(C19&gt;=ANALYSIS!$B$5,D19&lt;=ANALYSIS!$B$6),"Yes","No")</f>
        <v>Yes</v>
      </c>
      <c r="J19" s="50" t="str" cm="1">
        <f t="array" ref="J19">_xlfn.TEXTJOIN(", ",TRUE,IF($D$25:$D$124=$A19,$A$25:$A$124,""))</f>
        <v>20-24, 20-46, 20-50</v>
      </c>
    </row>
    <row r="20" spans="1:65" x14ac:dyDescent="0.25">
      <c r="A20" s="46">
        <f t="shared" si="7"/>
        <v>13</v>
      </c>
      <c r="B20" s="47">
        <f t="shared" si="0"/>
        <v>2</v>
      </c>
      <c r="C20" s="48">
        <f t="shared" si="1"/>
        <v>52</v>
      </c>
      <c r="D20" s="48">
        <f t="shared" si="2"/>
        <v>52.5</v>
      </c>
      <c r="E20" s="48">
        <f t="shared" si="3"/>
        <v>0.5</v>
      </c>
      <c r="F20" s="48">
        <f t="shared" si="4"/>
        <v>22.19</v>
      </c>
      <c r="G20" s="48">
        <f t="shared" si="5"/>
        <v>22.31</v>
      </c>
      <c r="H20" s="48">
        <f t="shared" si="6"/>
        <v>0.11999999999999744</v>
      </c>
      <c r="I20" s="49" t="str">
        <f>IF(AND(C20&gt;=ANALYSIS!$B$5,D20&lt;=ANALYSIS!$B$6),"Yes","No")</f>
        <v>No</v>
      </c>
      <c r="J20" s="50" t="str" cm="1">
        <f t="array" ref="J20">_xlfn.TEXTJOIN(", ",TRUE,IF($D$25:$D$124=$A20,$A$25:$A$124,""))</f>
        <v>19-03, 20-20</v>
      </c>
      <c r="Q20" s="52" t="s">
        <v>191</v>
      </c>
      <c r="R20">
        <f>1</f>
        <v>1</v>
      </c>
      <c r="S20">
        <f>1</f>
        <v>1</v>
      </c>
      <c r="T20">
        <f>1</f>
        <v>1</v>
      </c>
      <c r="U20">
        <f>1</f>
        <v>1</v>
      </c>
      <c r="V20">
        <f>1</f>
        <v>1</v>
      </c>
      <c r="W20">
        <f>1</f>
        <v>1</v>
      </c>
      <c r="X20">
        <f>1</f>
        <v>1</v>
      </c>
      <c r="Y20">
        <f>1</f>
        <v>1</v>
      </c>
      <c r="Z20">
        <f>1</f>
        <v>1</v>
      </c>
      <c r="AA20">
        <f>1</f>
        <v>1</v>
      </c>
      <c r="AB20">
        <f>1</f>
        <v>1</v>
      </c>
      <c r="AC20">
        <f>1</f>
        <v>1</v>
      </c>
      <c r="AD20">
        <f>1</f>
        <v>1</v>
      </c>
      <c r="AE20">
        <f>1</f>
        <v>1</v>
      </c>
      <c r="AF20">
        <f>1</f>
        <v>1</v>
      </c>
      <c r="AX20" t="s">
        <v>197</v>
      </c>
    </row>
    <row r="21" spans="1:65" x14ac:dyDescent="0.25">
      <c r="A21" s="46">
        <f t="shared" si="7"/>
        <v>14</v>
      </c>
      <c r="B21" s="47">
        <f t="shared" si="0"/>
        <v>2</v>
      </c>
      <c r="C21" s="48">
        <f t="shared" si="1"/>
        <v>52</v>
      </c>
      <c r="D21" s="48">
        <f t="shared" si="2"/>
        <v>52</v>
      </c>
      <c r="E21" s="48">
        <f t="shared" si="3"/>
        <v>0</v>
      </c>
      <c r="F21" s="48">
        <f t="shared" si="4"/>
        <v>21.59</v>
      </c>
      <c r="G21" s="48">
        <f t="shared" si="5"/>
        <v>21.66</v>
      </c>
      <c r="H21" s="48">
        <f t="shared" si="6"/>
        <v>7.0000000000000284E-2</v>
      </c>
      <c r="I21" s="49" t="str">
        <f>IF(AND(C21&gt;=ANALYSIS!$B$5,D21&lt;=ANALYSIS!$B$6),"Yes","No")</f>
        <v>No</v>
      </c>
      <c r="J21" s="50" t="str" cm="1">
        <f t="array" ref="J21">_xlfn.TEXTJOIN(", ",TRUE,IF($D$25:$D$124=$A21,$A$25:$A$124,""))</f>
        <v>19-07, 19-18</v>
      </c>
      <c r="Q21" s="52" t="s">
        <v>192</v>
      </c>
      <c r="R21" s="13">
        <f>MAX(R$25:R$124)</f>
        <v>14</v>
      </c>
      <c r="S21" s="13">
        <f t="shared" ref="S21:AF21" si="8">MAX(S$25:S$124)</f>
        <v>11</v>
      </c>
      <c r="T21" s="13">
        <f t="shared" si="8"/>
        <v>9</v>
      </c>
      <c r="U21" s="13">
        <f t="shared" si="8"/>
        <v>8</v>
      </c>
      <c r="V21" s="13">
        <f t="shared" si="8"/>
        <v>7</v>
      </c>
      <c r="W21" s="13">
        <f t="shared" si="8"/>
        <v>6</v>
      </c>
      <c r="X21" s="13">
        <f t="shared" si="8"/>
        <v>6</v>
      </c>
      <c r="Y21" s="13">
        <f t="shared" si="8"/>
        <v>4</v>
      </c>
      <c r="Z21" s="13">
        <f t="shared" si="8"/>
        <v>4</v>
      </c>
      <c r="AA21" s="13">
        <f t="shared" si="8"/>
        <v>4</v>
      </c>
      <c r="AB21" s="13">
        <f t="shared" si="8"/>
        <v>3</v>
      </c>
      <c r="AC21" s="13">
        <f t="shared" si="8"/>
        <v>3</v>
      </c>
      <c r="AD21" s="13">
        <f t="shared" si="8"/>
        <v>2</v>
      </c>
      <c r="AE21" s="13">
        <f t="shared" si="8"/>
        <v>2</v>
      </c>
      <c r="AF21" s="13">
        <f t="shared" si="8"/>
        <v>2</v>
      </c>
    </row>
    <row r="22" spans="1:65" x14ac:dyDescent="0.25">
      <c r="A22" s="46">
        <f t="shared" si="7"/>
        <v>15</v>
      </c>
      <c r="B22" s="47">
        <f t="shared" si="0"/>
        <v>2</v>
      </c>
      <c r="C22" s="48">
        <f t="shared" si="1"/>
        <v>58</v>
      </c>
      <c r="D22" s="48">
        <f t="shared" si="2"/>
        <v>59</v>
      </c>
      <c r="E22" s="48">
        <f t="shared" si="3"/>
        <v>1</v>
      </c>
      <c r="F22" s="48">
        <f t="shared" si="4"/>
        <v>23.24</v>
      </c>
      <c r="G22" s="48">
        <f t="shared" si="5"/>
        <v>23.29</v>
      </c>
      <c r="H22" s="48">
        <f t="shared" si="6"/>
        <v>5.0000000000000711E-2</v>
      </c>
      <c r="I22" s="49" t="str">
        <f>IF(AND(C22&gt;=ANALYSIS!$B$5,D22&lt;=ANALYSIS!$B$6),"Yes","No")</f>
        <v>Yes</v>
      </c>
      <c r="J22" s="50" t="str" cm="1">
        <f t="array" ref="J22">_xlfn.TEXTJOIN(", ",TRUE,IF($D$25:$D$124=$A22,$A$25:$A$124,""))</f>
        <v>19-24, 19-33</v>
      </c>
      <c r="Q22" s="52" t="s">
        <v>193</v>
      </c>
      <c r="R22" s="13">
        <f>INDEX($B$25:$B$124,MATCH(R21,R$25:R$124,0))</f>
        <v>55</v>
      </c>
      <c r="S22" s="13">
        <f t="shared" ref="S22:AF22" si="9">INDEX($B$25:$B$124,MATCH(S21,S$25:S$124,0))</f>
        <v>53</v>
      </c>
      <c r="T22" s="13">
        <f t="shared" si="9"/>
        <v>55</v>
      </c>
      <c r="U22" s="13">
        <f t="shared" si="9"/>
        <v>53</v>
      </c>
      <c r="V22" s="13">
        <f t="shared" si="9"/>
        <v>53</v>
      </c>
      <c r="W22" s="13">
        <f t="shared" si="9"/>
        <v>52</v>
      </c>
      <c r="X22" s="13">
        <f t="shared" si="9"/>
        <v>55</v>
      </c>
      <c r="Y22" s="13">
        <f t="shared" si="9"/>
        <v>50</v>
      </c>
      <c r="Z22" s="13">
        <f t="shared" si="9"/>
        <v>57</v>
      </c>
      <c r="AA22" s="13">
        <f t="shared" si="9"/>
        <v>55</v>
      </c>
      <c r="AB22" s="13">
        <f t="shared" si="9"/>
        <v>56</v>
      </c>
      <c r="AC22" s="13">
        <f t="shared" si="9"/>
        <v>57</v>
      </c>
      <c r="AD22" s="13">
        <f t="shared" si="9"/>
        <v>52</v>
      </c>
      <c r="AE22" s="13">
        <f t="shared" si="9"/>
        <v>52</v>
      </c>
      <c r="AF22" s="13">
        <f t="shared" si="9"/>
        <v>58</v>
      </c>
    </row>
    <row r="23" spans="1:65" x14ac:dyDescent="0.25">
      <c r="A23" s="52" t="s">
        <v>189</v>
      </c>
      <c r="Q23" s="52" t="s">
        <v>194</v>
      </c>
      <c r="R23" s="13">
        <f>INDEX($C$25:$C$124,MATCH(R21,R$25:R$124,0))</f>
        <v>23.85</v>
      </c>
      <c r="S23" s="13">
        <f t="shared" ref="S23:AF23" si="10">INDEX($C$25:$C$124,MATCH(S21,S$25:S$124,0))</f>
        <v>23.03</v>
      </c>
      <c r="T23" s="13">
        <f t="shared" si="10"/>
        <v>25.09</v>
      </c>
      <c r="U23" s="13">
        <f t="shared" si="10"/>
        <v>21.49</v>
      </c>
      <c r="V23" s="13">
        <f t="shared" si="10"/>
        <v>22.06</v>
      </c>
      <c r="W23" s="13">
        <f t="shared" si="10"/>
        <v>23.46</v>
      </c>
      <c r="X23" s="13">
        <f t="shared" si="10"/>
        <v>22.62</v>
      </c>
      <c r="Y23" s="13">
        <f t="shared" si="10"/>
        <v>22.67</v>
      </c>
      <c r="Z23" s="13">
        <f t="shared" si="10"/>
        <v>23.44</v>
      </c>
      <c r="AA23" s="13">
        <f t="shared" si="10"/>
        <v>24.56</v>
      </c>
      <c r="AB23" s="13">
        <f t="shared" si="10"/>
        <v>25.62</v>
      </c>
      <c r="AC23" s="13">
        <f t="shared" si="10"/>
        <v>24.41</v>
      </c>
      <c r="AD23" s="13">
        <f t="shared" si="10"/>
        <v>22.19</v>
      </c>
      <c r="AE23" s="13">
        <f t="shared" si="10"/>
        <v>21.59</v>
      </c>
      <c r="AF23" s="13">
        <f t="shared" si="10"/>
        <v>23.24</v>
      </c>
    </row>
    <row r="24" spans="1:65" x14ac:dyDescent="0.25">
      <c r="A24" s="51" t="s">
        <v>187</v>
      </c>
      <c r="B24" s="51" t="s">
        <v>114</v>
      </c>
      <c r="C24" s="51" t="s">
        <v>4</v>
      </c>
      <c r="D24" s="51" t="s">
        <v>188</v>
      </c>
      <c r="Q24" s="52" t="s">
        <v>195</v>
      </c>
      <c r="AG24" t="s">
        <v>196</v>
      </c>
      <c r="AX24" t="s">
        <v>190</v>
      </c>
    </row>
    <row r="25" spans="1:65" x14ac:dyDescent="0.25">
      <c r="A25" s="41" t="str">
        <f>ANALYSIS!B31</f>
        <v>19-01</v>
      </c>
      <c r="B25" s="41">
        <f>ANALYSIS!E31</f>
        <v>55.5</v>
      </c>
      <c r="C25" s="41">
        <f>ANALYSIS!G31</f>
        <v>23.23</v>
      </c>
      <c r="D25" s="41">
        <f>IFERROR(MATCH(1,$AH25:$AV25,0),"")</f>
        <v>2</v>
      </c>
      <c r="R25" cm="1">
        <f t="array" ref="R25">IF(AX25&gt;0,0,SUMPRODUCT((AX$25:AX$124=0)*($B$25:$B$124&gt;=$B25)*($B$25:$B$124&lt;=$B25+ANALYSIS!$G$5)*($C$25:$C$124&gt;=$C25)*($C$25:$C$124&lt;=$C25+ANALYSIS!$G$6)))</f>
        <v>10</v>
      </c>
      <c r="S25" cm="1">
        <f t="array" ref="S25">IF(AY25&gt;0,0,SUMPRODUCT((AY$25:AY$124=0)*($B$25:$B$124&gt;=$B25)*($B$25:$B$124&lt;=$B25+ANALYSIS!$G$5)*($C$25:$C$124&gt;=$C25)*($C$25:$C$124&lt;=$C25+ANALYSIS!$G$6)))</f>
        <v>10</v>
      </c>
      <c r="T25" cm="1">
        <f t="array" ref="T25">IF(AZ25&gt;0,0,SUMPRODUCT((AZ$25:AZ$124=0)*($B$25:$B$124&gt;=$B25)*($B$25:$B$124&lt;=$B25+ANALYSIS!$G$5)*($C$25:$C$124&gt;=$C25)*($C$25:$C$124&lt;=$C25+ANALYSIS!$G$6)))</f>
        <v>0</v>
      </c>
      <c r="U25" cm="1">
        <f t="array" ref="U25">IF(BA25&gt;0,0,SUMPRODUCT((BA$25:BA$124=0)*($B$25:$B$124&gt;=$B25)*($B$25:$B$124&lt;=$B25+ANALYSIS!$G$5)*($C$25:$C$124&gt;=$C25)*($C$25:$C$124&lt;=$C25+ANALYSIS!$G$6)))</f>
        <v>0</v>
      </c>
      <c r="V25" cm="1">
        <f t="array" ref="V25">IF(BB25&gt;0,0,SUMPRODUCT((BB$25:BB$124=0)*($B$25:$B$124&gt;=$B25)*($B$25:$B$124&lt;=$B25+ANALYSIS!$G$5)*($C$25:$C$124&gt;=$C25)*($C$25:$C$124&lt;=$C25+ANALYSIS!$G$6)))</f>
        <v>0</v>
      </c>
      <c r="W25" cm="1">
        <f t="array" ref="W25">IF(BC25&gt;0,0,SUMPRODUCT((BC$25:BC$124=0)*($B$25:$B$124&gt;=$B25)*($B$25:$B$124&lt;=$B25+ANALYSIS!$G$5)*($C$25:$C$124&gt;=$C25)*($C$25:$C$124&lt;=$C25+ANALYSIS!$G$6)))</f>
        <v>0</v>
      </c>
      <c r="X25" cm="1">
        <f t="array" ref="X25">IF(BD25&gt;0,0,SUMPRODUCT((BD$25:BD$124=0)*($B$25:$B$124&gt;=$B25)*($B$25:$B$124&lt;=$B25+ANALYSIS!$G$5)*($C$25:$C$124&gt;=$C25)*($C$25:$C$124&lt;=$C25+ANALYSIS!$G$6)))</f>
        <v>0</v>
      </c>
      <c r="Y25" cm="1">
        <f t="array" ref="Y25">IF(BE25&gt;0,0,SUMPRODUCT((BE$25:BE$124=0)*($B$25:$B$124&gt;=$B25)*($B$25:$B$124&lt;=$B25+ANALYSIS!$G$5)*($C$25:$C$124&gt;=$C25)*($C$25:$C$124&lt;=$C25+ANALYSIS!$G$6)))</f>
        <v>0</v>
      </c>
      <c r="Z25" cm="1">
        <f t="array" ref="Z25">IF(BF25&gt;0,0,SUMPRODUCT((BF$25:BF$124=0)*($B$25:$B$124&gt;=$B25)*($B$25:$B$124&lt;=$B25+ANALYSIS!$G$5)*($C$25:$C$124&gt;=$C25)*($C$25:$C$124&lt;=$C25+ANALYSIS!$G$6)))</f>
        <v>0</v>
      </c>
      <c r="AA25" cm="1">
        <f t="array" ref="AA25">IF(BG25&gt;0,0,SUMPRODUCT((BG$25:BG$124=0)*($B$25:$B$124&gt;=$B25)*($B$25:$B$124&lt;=$B25+ANALYSIS!$G$5)*($C$25:$C$124&gt;=$C25)*($C$25:$C$124&lt;=$C25+ANALYSIS!$G$6)))</f>
        <v>0</v>
      </c>
      <c r="AB25" cm="1">
        <f t="array" ref="AB25">IF(BH25&gt;0,0,SUMPRODUCT((BH$25:BH$124=0)*($B$25:$B$124&gt;=$B25)*($B$25:$B$124&lt;=$B25+ANALYSIS!$G$5)*($C$25:$C$124&gt;=$C25)*($C$25:$C$124&lt;=$C25+ANALYSIS!$G$6)))</f>
        <v>0</v>
      </c>
      <c r="AC25" cm="1">
        <f t="array" ref="AC25">IF(BI25&gt;0,0,SUMPRODUCT((BI$25:BI$124=0)*($B$25:$B$124&gt;=$B25)*($B$25:$B$124&lt;=$B25+ANALYSIS!$G$5)*($C$25:$C$124&gt;=$C25)*($C$25:$C$124&lt;=$C25+ANALYSIS!$G$6)))</f>
        <v>0</v>
      </c>
      <c r="AD25" cm="1">
        <f t="array" ref="AD25">IF(BJ25&gt;0,0,SUMPRODUCT((BJ$25:BJ$124=0)*($B$25:$B$124&gt;=$B25)*($B$25:$B$124&lt;=$B25+ANALYSIS!$G$5)*($C$25:$C$124&gt;=$C25)*($C$25:$C$124&lt;=$C25+ANALYSIS!$G$6)))</f>
        <v>0</v>
      </c>
      <c r="AE25" cm="1">
        <f t="array" ref="AE25">IF(BK25&gt;0,0,SUMPRODUCT((BK$25:BK$124=0)*($B$25:$B$124&gt;=$B25)*($B$25:$B$124&lt;=$B25+ANALYSIS!$G$5)*($C$25:$C$124&gt;=$C25)*($C$25:$C$124&lt;=$C25+ANALYSIS!$G$6)))</f>
        <v>0</v>
      </c>
      <c r="AF25" cm="1">
        <f t="array" ref="AF25">IF(BL25&gt;0,0,SUMPRODUCT((BL$25:BL$124=0)*($B$25:$B$124&gt;=$B25)*($B$25:$B$124&lt;=$B25+ANALYSIS!$G$5)*($C$25:$C$124&gt;=$C25)*($C$25:$C$124&lt;=$C25+ANALYSIS!$G$6)))</f>
        <v>0</v>
      </c>
      <c r="AH25">
        <f>IF(AND(AX25=0,$B25&gt;=R$22,$B25&lt;=R$22+ANALYSIS!$G$5,$C25&gt;=R$23,$C25&lt;=R$23+ANALYSIS!$G$6),1,0)</f>
        <v>0</v>
      </c>
      <c r="AI25">
        <f>IF(AND(AY25=0,$B25&gt;=S$22,$B25&lt;=S$22+ANALYSIS!$G$5,$C25&gt;=S$23,$C25&lt;=S$23+ANALYSIS!$G$6),1,0)</f>
        <v>1</v>
      </c>
      <c r="AJ25">
        <f>IF(AND(AZ25=0,$B25&gt;=T$22,$B25&lt;=T$22+ANALYSIS!$G$5,$C25&gt;=T$23,$C25&lt;=T$23+ANALYSIS!$G$6),1,0)</f>
        <v>0</v>
      </c>
      <c r="AK25">
        <f>IF(AND(BA25=0,$B25&gt;=U$22,$B25&lt;=U$22+ANALYSIS!$G$5,$C25&gt;=U$23,$C25&lt;=U$23+ANALYSIS!$G$6),1,0)</f>
        <v>0</v>
      </c>
      <c r="AL25">
        <f>IF(AND(BB25=0,$B25&gt;=V$22,$B25&lt;=V$22+ANALYSIS!$G$5,$C25&gt;=V$23,$C25&lt;=V$23+ANALYSIS!$G$6),1,0)</f>
        <v>0</v>
      </c>
      <c r="AM25">
        <f>IF(AND(BC25=0,$B25&gt;=W$22,$B25&lt;=W$22+ANALYSIS!$G$5,$C25&gt;=W$23,$C25&lt;=W$23+ANALYSIS!$G$6),1,0)</f>
        <v>0</v>
      </c>
      <c r="AN25">
        <f>IF(AND(BD25=0,$B25&gt;=X$22,$B25&lt;=X$22+ANALYSIS!$G$5,$C25&gt;=X$23,$C25&lt;=X$23+ANALYSIS!$G$6),1,0)</f>
        <v>0</v>
      </c>
      <c r="AO25">
        <f>IF(AND(BE25=0,$B25&gt;=Y$22,$B25&lt;=Y$22+ANALYSIS!$G$5,$C25&gt;=Y$23,$C25&lt;=Y$23+ANALYSIS!$G$6),1,0)</f>
        <v>0</v>
      </c>
      <c r="AP25">
        <f>IF(AND(BF25=0,$B25&gt;=Z$22,$B25&lt;=Z$22+ANALYSIS!$G$5,$C25&gt;=Z$23,$C25&lt;=Z$23+ANALYSIS!$G$6),1,0)</f>
        <v>0</v>
      </c>
      <c r="AQ25">
        <f>IF(AND(BG25=0,$B25&gt;=AA$22,$B25&lt;=AA$22+ANALYSIS!$G$5,$C25&gt;=AA$23,$C25&lt;=AA$23+ANALYSIS!$G$6),1,0)</f>
        <v>0</v>
      </c>
      <c r="AR25">
        <f>IF(AND(BH25=0,$B25&gt;=AB$22,$B25&lt;=AB$22+ANALYSIS!$G$5,$C25&gt;=AB$23,$C25&lt;=AB$23+ANALYSIS!$G$6),1,0)</f>
        <v>0</v>
      </c>
      <c r="AS25">
        <f>IF(AND(BI25=0,$B25&gt;=AC$22,$B25&lt;=AC$22+ANALYSIS!$G$5,$C25&gt;=AC$23,$C25&lt;=AC$23+ANALYSIS!$G$6),1,0)</f>
        <v>0</v>
      </c>
      <c r="AT25">
        <f>IF(AND(BJ25=0,$B25&gt;=AD$22,$B25&lt;=AD$22+ANALYSIS!$G$5,$C25&gt;=AD$23,$C25&lt;=AD$23+ANALYSIS!$G$6),1,0)</f>
        <v>0</v>
      </c>
      <c r="AU25">
        <f>IF(AND(BK25=0,$B25&gt;=AE$22,$B25&lt;=AE$22+ANALYSIS!$G$5,$C25&gt;=AE$23,$C25&lt;=AE$23+ANALYSIS!$G$6),1,0)</f>
        <v>0</v>
      </c>
      <c r="AV25">
        <f>IF(AND(BL25=0,$B25&gt;=AF$22,$B25&lt;=AF$22+ANALYSIS!$G$5,$C25&gt;=AF$23,$C25&lt;=AF$23+ANALYSIS!$G$6),1,0)</f>
        <v>0</v>
      </c>
      <c r="AX25">
        <v>0</v>
      </c>
      <c r="AY25">
        <f>AX25+AH25</f>
        <v>0</v>
      </c>
      <c r="AZ25">
        <f t="shared" ref="AZ25:BM40" si="11">AY25+AI25</f>
        <v>1</v>
      </c>
      <c r="BA25">
        <f t="shared" si="11"/>
        <v>1</v>
      </c>
      <c r="BB25">
        <f t="shared" si="11"/>
        <v>1</v>
      </c>
      <c r="BC25">
        <f t="shared" si="11"/>
        <v>1</v>
      </c>
      <c r="BD25">
        <f t="shared" si="11"/>
        <v>1</v>
      </c>
      <c r="BE25">
        <f t="shared" si="11"/>
        <v>1</v>
      </c>
      <c r="BF25">
        <f t="shared" si="11"/>
        <v>1</v>
      </c>
      <c r="BG25">
        <f t="shared" si="11"/>
        <v>1</v>
      </c>
      <c r="BH25">
        <f t="shared" si="11"/>
        <v>1</v>
      </c>
      <c r="BI25">
        <f t="shared" si="11"/>
        <v>1</v>
      </c>
      <c r="BJ25">
        <f t="shared" si="11"/>
        <v>1</v>
      </c>
      <c r="BK25">
        <f t="shared" si="11"/>
        <v>1</v>
      </c>
      <c r="BL25">
        <f t="shared" si="11"/>
        <v>1</v>
      </c>
      <c r="BM25">
        <f t="shared" si="11"/>
        <v>1</v>
      </c>
    </row>
    <row r="26" spans="1:65" x14ac:dyDescent="0.25">
      <c r="A26" s="41" t="str">
        <f>ANALYSIS!B32</f>
        <v>19-02</v>
      </c>
      <c r="B26" s="41">
        <f>ANALYSIS!E32</f>
        <v>58</v>
      </c>
      <c r="C26" s="41">
        <f>ANALYSIS!G32</f>
        <v>24.7</v>
      </c>
      <c r="D26" s="41">
        <f t="shared" ref="D26:D89" si="12">IFERROR(MATCH(1,$AH26:$AV26,0),"")</f>
        <v>10</v>
      </c>
      <c r="R26" cm="1">
        <f t="array" ref="R26">IF(AX26&gt;0,0,SUMPRODUCT((AX$25:AX$124=0)*($B$25:$B$124&gt;=$B26)*($B$25:$B$124&lt;=$B26+ANALYSIS!$G$5)*($C$25:$C$124&gt;=$C26)*($C$25:$C$124&lt;=$C26+ANALYSIS!$G$6)))</f>
        <v>2</v>
      </c>
      <c r="S26" cm="1">
        <f t="array" ref="S26">IF(AY26&gt;0,0,SUMPRODUCT((AY$25:AY$124=0)*($B$25:$B$124&gt;=$B26)*($B$25:$B$124&lt;=$B26+ANALYSIS!$G$5)*($C$25:$C$124&gt;=$C26)*($C$25:$C$124&lt;=$C26+ANALYSIS!$G$6)))</f>
        <v>2</v>
      </c>
      <c r="T26" cm="1">
        <f t="array" ref="T26">IF(AZ26&gt;0,0,SUMPRODUCT((AZ$25:AZ$124=0)*($B$25:$B$124&gt;=$B26)*($B$25:$B$124&lt;=$B26+ANALYSIS!$G$5)*($C$25:$C$124&gt;=$C26)*($C$25:$C$124&lt;=$C26+ANALYSIS!$G$6)))</f>
        <v>2</v>
      </c>
      <c r="U26" cm="1">
        <f t="array" ref="U26">IF(BA26&gt;0,0,SUMPRODUCT((BA$25:BA$124=0)*($B$25:$B$124&gt;=$B26)*($B$25:$B$124&lt;=$B26+ANALYSIS!$G$5)*($C$25:$C$124&gt;=$C26)*($C$25:$C$124&lt;=$C26+ANALYSIS!$G$6)))</f>
        <v>2</v>
      </c>
      <c r="V26" cm="1">
        <f t="array" ref="V26">IF(BB26&gt;0,0,SUMPRODUCT((BB$25:BB$124=0)*($B$25:$B$124&gt;=$B26)*($B$25:$B$124&lt;=$B26+ANALYSIS!$G$5)*($C$25:$C$124&gt;=$C26)*($C$25:$C$124&lt;=$C26+ANALYSIS!$G$6)))</f>
        <v>2</v>
      </c>
      <c r="W26" cm="1">
        <f t="array" ref="W26">IF(BC26&gt;0,0,SUMPRODUCT((BC$25:BC$124=0)*($B$25:$B$124&gt;=$B26)*($B$25:$B$124&lt;=$B26+ANALYSIS!$G$5)*($C$25:$C$124&gt;=$C26)*($C$25:$C$124&lt;=$C26+ANALYSIS!$G$6)))</f>
        <v>2</v>
      </c>
      <c r="X26" cm="1">
        <f t="array" ref="X26">IF(BD26&gt;0,0,SUMPRODUCT((BD$25:BD$124=0)*($B$25:$B$124&gt;=$B26)*($B$25:$B$124&lt;=$B26+ANALYSIS!$G$5)*($C$25:$C$124&gt;=$C26)*($C$25:$C$124&lt;=$C26+ANALYSIS!$G$6)))</f>
        <v>2</v>
      </c>
      <c r="Y26" cm="1">
        <f t="array" ref="Y26">IF(BE26&gt;0,0,SUMPRODUCT((BE$25:BE$124=0)*($B$25:$B$124&gt;=$B26)*($B$25:$B$124&lt;=$B26+ANALYSIS!$G$5)*($C$25:$C$124&gt;=$C26)*($C$25:$C$124&lt;=$C26+ANALYSIS!$G$6)))</f>
        <v>2</v>
      </c>
      <c r="Z26" cm="1">
        <f t="array" ref="Z26">IF(BF26&gt;0,0,SUMPRODUCT((BF$25:BF$124=0)*($B$25:$B$124&gt;=$B26)*($B$25:$B$124&lt;=$B26+ANALYSIS!$G$5)*($C$25:$C$124&gt;=$C26)*($C$25:$C$124&lt;=$C26+ANALYSIS!$G$6)))</f>
        <v>2</v>
      </c>
      <c r="AA26" cm="1">
        <f t="array" ref="AA26">IF(BG26&gt;0,0,SUMPRODUCT((BG$25:BG$124=0)*($B$25:$B$124&gt;=$B26)*($B$25:$B$124&lt;=$B26+ANALYSIS!$G$5)*($C$25:$C$124&gt;=$C26)*($C$25:$C$124&lt;=$C26+ANALYSIS!$G$6)))</f>
        <v>2</v>
      </c>
      <c r="AB26" cm="1">
        <f t="array" ref="AB26">IF(BH26&gt;0,0,SUMPRODUCT((BH$25:BH$124=0)*($B$25:$B$124&gt;=$B26)*($B$25:$B$124&lt;=$B26+ANALYSIS!$G$5)*($C$25:$C$124&gt;=$C26)*($C$25:$C$124&lt;=$C26+ANALYSIS!$G$6)))</f>
        <v>0</v>
      </c>
      <c r="AC26" cm="1">
        <f t="array" ref="AC26">IF(BI26&gt;0,0,SUMPRODUCT((BI$25:BI$124=0)*($B$25:$B$124&gt;=$B26)*($B$25:$B$124&lt;=$B26+ANALYSIS!$G$5)*($C$25:$C$124&gt;=$C26)*($C$25:$C$124&lt;=$C26+ANALYSIS!$G$6)))</f>
        <v>0</v>
      </c>
      <c r="AD26" cm="1">
        <f t="array" ref="AD26">IF(BJ26&gt;0,0,SUMPRODUCT((BJ$25:BJ$124=0)*($B$25:$B$124&gt;=$B26)*($B$25:$B$124&lt;=$B26+ANALYSIS!$G$5)*($C$25:$C$124&gt;=$C26)*($C$25:$C$124&lt;=$C26+ANALYSIS!$G$6)))</f>
        <v>0</v>
      </c>
      <c r="AE26" cm="1">
        <f t="array" ref="AE26">IF(BK26&gt;0,0,SUMPRODUCT((BK$25:BK$124=0)*($B$25:$B$124&gt;=$B26)*($B$25:$B$124&lt;=$B26+ANALYSIS!$G$5)*($C$25:$C$124&gt;=$C26)*($C$25:$C$124&lt;=$C26+ANALYSIS!$G$6)))</f>
        <v>0</v>
      </c>
      <c r="AF26" cm="1">
        <f t="array" ref="AF26">IF(BL26&gt;0,0,SUMPRODUCT((BL$25:BL$124=0)*($B$25:$B$124&gt;=$B26)*($B$25:$B$124&lt;=$B26+ANALYSIS!$G$5)*($C$25:$C$124&gt;=$C26)*($C$25:$C$124&lt;=$C26+ANALYSIS!$G$6)))</f>
        <v>0</v>
      </c>
      <c r="AH26">
        <f>IF(AND(AX26=0,$B26&gt;=R$22,$B26&lt;=R$22+ANALYSIS!$G$5,$C26&gt;=R$23,$C26&lt;=R$23+ANALYSIS!$G$6),1,0)</f>
        <v>0</v>
      </c>
      <c r="AI26">
        <f>IF(AND(AY26=0,$B26&gt;=S$22,$B26&lt;=S$22+ANALYSIS!$G$5,$C26&gt;=S$23,$C26&lt;=S$23+ANALYSIS!$G$6),1,0)</f>
        <v>0</v>
      </c>
      <c r="AJ26">
        <f>IF(AND(AZ26=0,$B26&gt;=T$22,$B26&lt;=T$22+ANALYSIS!$G$5,$C26&gt;=T$23,$C26&lt;=T$23+ANALYSIS!$G$6),1,0)</f>
        <v>0</v>
      </c>
      <c r="AK26">
        <f>IF(AND(BA26=0,$B26&gt;=U$22,$B26&lt;=U$22+ANALYSIS!$G$5,$C26&gt;=U$23,$C26&lt;=U$23+ANALYSIS!$G$6),1,0)</f>
        <v>0</v>
      </c>
      <c r="AL26">
        <f>IF(AND(BB26=0,$B26&gt;=V$22,$B26&lt;=V$22+ANALYSIS!$G$5,$C26&gt;=V$23,$C26&lt;=V$23+ANALYSIS!$G$6),1,0)</f>
        <v>0</v>
      </c>
      <c r="AM26">
        <f>IF(AND(BC26=0,$B26&gt;=W$22,$B26&lt;=W$22+ANALYSIS!$G$5,$C26&gt;=W$23,$C26&lt;=W$23+ANALYSIS!$G$6),1,0)</f>
        <v>0</v>
      </c>
      <c r="AN26">
        <f>IF(AND(BD26=0,$B26&gt;=X$22,$B26&lt;=X$22+ANALYSIS!$G$5,$C26&gt;=X$23,$C26&lt;=X$23+ANALYSIS!$G$6),1,0)</f>
        <v>0</v>
      </c>
      <c r="AO26">
        <f>IF(AND(BE26=0,$B26&gt;=Y$22,$B26&lt;=Y$22+ANALYSIS!$G$5,$C26&gt;=Y$23,$C26&lt;=Y$23+ANALYSIS!$G$6),1,0)</f>
        <v>0</v>
      </c>
      <c r="AP26">
        <f>IF(AND(BF26=0,$B26&gt;=Z$22,$B26&lt;=Z$22+ANALYSIS!$G$5,$C26&gt;=Z$23,$C26&lt;=Z$23+ANALYSIS!$G$6),1,0)</f>
        <v>0</v>
      </c>
      <c r="AQ26">
        <f>IF(AND(BG26=0,$B26&gt;=AA$22,$B26&lt;=AA$22+ANALYSIS!$G$5,$C26&gt;=AA$23,$C26&lt;=AA$23+ANALYSIS!$G$6),1,0)</f>
        <v>1</v>
      </c>
      <c r="AR26">
        <f>IF(AND(BH26=0,$B26&gt;=AB$22,$B26&lt;=AB$22+ANALYSIS!$G$5,$C26&gt;=AB$23,$C26&lt;=AB$23+ANALYSIS!$G$6),1,0)</f>
        <v>0</v>
      </c>
      <c r="AS26">
        <f>IF(AND(BI26=0,$B26&gt;=AC$22,$B26&lt;=AC$22+ANALYSIS!$G$5,$C26&gt;=AC$23,$C26&lt;=AC$23+ANALYSIS!$G$6),1,0)</f>
        <v>0</v>
      </c>
      <c r="AT26">
        <f>IF(AND(BJ26=0,$B26&gt;=AD$22,$B26&lt;=AD$22+ANALYSIS!$G$5,$C26&gt;=AD$23,$C26&lt;=AD$23+ANALYSIS!$G$6),1,0)</f>
        <v>0</v>
      </c>
      <c r="AU26">
        <f>IF(AND(BK26=0,$B26&gt;=AE$22,$B26&lt;=AE$22+ANALYSIS!$G$5,$C26&gt;=AE$23,$C26&lt;=AE$23+ANALYSIS!$G$6),1,0)</f>
        <v>0</v>
      </c>
      <c r="AV26">
        <f>IF(AND(BL26=0,$B26&gt;=AF$22,$B26&lt;=AF$22+ANALYSIS!$G$5,$C26&gt;=AF$23,$C26&lt;=AF$23+ANALYSIS!$G$6),1,0)</f>
        <v>0</v>
      </c>
      <c r="AX26">
        <v>0</v>
      </c>
      <c r="AY26">
        <f t="shared" ref="AY26:AY89" si="13">AX26+AH26</f>
        <v>0</v>
      </c>
      <c r="AZ26">
        <f t="shared" si="11"/>
        <v>0</v>
      </c>
      <c r="BA26">
        <f t="shared" si="11"/>
        <v>0</v>
      </c>
      <c r="BB26">
        <f t="shared" si="11"/>
        <v>0</v>
      </c>
      <c r="BC26">
        <f t="shared" si="11"/>
        <v>0</v>
      </c>
      <c r="BD26">
        <f t="shared" si="11"/>
        <v>0</v>
      </c>
      <c r="BE26">
        <f t="shared" si="11"/>
        <v>0</v>
      </c>
      <c r="BF26">
        <f t="shared" si="11"/>
        <v>0</v>
      </c>
      <c r="BG26">
        <f t="shared" si="11"/>
        <v>0</v>
      </c>
      <c r="BH26">
        <f t="shared" si="11"/>
        <v>1</v>
      </c>
      <c r="BI26">
        <f t="shared" si="11"/>
        <v>1</v>
      </c>
      <c r="BJ26">
        <f t="shared" si="11"/>
        <v>1</v>
      </c>
      <c r="BK26">
        <f t="shared" si="11"/>
        <v>1</v>
      </c>
      <c r="BL26">
        <f t="shared" si="11"/>
        <v>1</v>
      </c>
      <c r="BM26">
        <f t="shared" si="11"/>
        <v>1</v>
      </c>
    </row>
    <row r="27" spans="1:65" x14ac:dyDescent="0.25">
      <c r="A27" s="41" t="str">
        <f>ANALYSIS!B33</f>
        <v>19-03</v>
      </c>
      <c r="B27" s="41">
        <f>ANALYSIS!E33</f>
        <v>52</v>
      </c>
      <c r="C27" s="41">
        <f>ANALYSIS!G33</f>
        <v>22.19</v>
      </c>
      <c r="D27" s="41">
        <f t="shared" si="12"/>
        <v>13</v>
      </c>
      <c r="R27" cm="1">
        <f t="array" ref="R27">IF(AX27&gt;0,0,SUMPRODUCT((AX$25:AX$124=0)*($B$25:$B$124&gt;=$B27)*($B$25:$B$124&lt;=$B27+ANALYSIS!$G$5)*($C$25:$C$124&gt;=$C27)*($C$25:$C$124&lt;=$C27+ANALYSIS!$G$6)))</f>
        <v>5</v>
      </c>
      <c r="S27" cm="1">
        <f t="array" ref="S27">IF(AY27&gt;0,0,SUMPRODUCT((AY$25:AY$124=0)*($B$25:$B$124&gt;=$B27)*($B$25:$B$124&lt;=$B27+ANALYSIS!$G$5)*($C$25:$C$124&gt;=$C27)*($C$25:$C$124&lt;=$C27+ANALYSIS!$G$6)))</f>
        <v>5</v>
      </c>
      <c r="T27" cm="1">
        <f t="array" ref="T27">IF(AZ27&gt;0,0,SUMPRODUCT((AZ$25:AZ$124=0)*($B$25:$B$124&gt;=$B27)*($B$25:$B$124&lt;=$B27+ANALYSIS!$G$5)*($C$25:$C$124&gt;=$C27)*($C$25:$C$124&lt;=$C27+ANALYSIS!$G$6)))</f>
        <v>5</v>
      </c>
      <c r="U27" cm="1">
        <f t="array" ref="U27">IF(BA27&gt;0,0,SUMPRODUCT((BA$25:BA$124=0)*($B$25:$B$124&gt;=$B27)*($B$25:$B$124&lt;=$B27+ANALYSIS!$G$5)*($C$25:$C$124&gt;=$C27)*($C$25:$C$124&lt;=$C27+ANALYSIS!$G$6)))</f>
        <v>5</v>
      </c>
      <c r="V27" cm="1">
        <f t="array" ref="V27">IF(BB27&gt;0,0,SUMPRODUCT((BB$25:BB$124=0)*($B$25:$B$124&gt;=$B27)*($B$25:$B$124&lt;=$B27+ANALYSIS!$G$5)*($C$25:$C$124&gt;=$C27)*($C$25:$C$124&lt;=$C27+ANALYSIS!$G$6)))</f>
        <v>5</v>
      </c>
      <c r="W27" cm="1">
        <f t="array" ref="W27">IF(BC27&gt;0,0,SUMPRODUCT((BC$25:BC$124=0)*($B$25:$B$124&gt;=$B27)*($B$25:$B$124&lt;=$B27+ANALYSIS!$G$5)*($C$25:$C$124&gt;=$C27)*($C$25:$C$124&lt;=$C27+ANALYSIS!$G$6)))</f>
        <v>3</v>
      </c>
      <c r="X27" cm="1">
        <f t="array" ref="X27">IF(BD27&gt;0,0,SUMPRODUCT((BD$25:BD$124=0)*($B$25:$B$124&gt;=$B27)*($B$25:$B$124&lt;=$B27+ANALYSIS!$G$5)*($C$25:$C$124&gt;=$C27)*($C$25:$C$124&lt;=$C27+ANALYSIS!$G$6)))</f>
        <v>3</v>
      </c>
      <c r="Y27" cm="1">
        <f t="array" ref="Y27">IF(BE27&gt;0,0,SUMPRODUCT((BE$25:BE$124=0)*($B$25:$B$124&gt;=$B27)*($B$25:$B$124&lt;=$B27+ANALYSIS!$G$5)*($C$25:$C$124&gt;=$C27)*($C$25:$C$124&lt;=$C27+ANALYSIS!$G$6)))</f>
        <v>2</v>
      </c>
      <c r="Z27" cm="1">
        <f t="array" ref="Z27">IF(BF27&gt;0,0,SUMPRODUCT((BF$25:BF$124=0)*($B$25:$B$124&gt;=$B27)*($B$25:$B$124&lt;=$B27+ANALYSIS!$G$5)*($C$25:$C$124&gt;=$C27)*($C$25:$C$124&lt;=$C27+ANALYSIS!$G$6)))</f>
        <v>2</v>
      </c>
      <c r="AA27" cm="1">
        <f t="array" ref="AA27">IF(BG27&gt;0,0,SUMPRODUCT((BG$25:BG$124=0)*($B$25:$B$124&gt;=$B27)*($B$25:$B$124&lt;=$B27+ANALYSIS!$G$5)*($C$25:$C$124&gt;=$C27)*($C$25:$C$124&lt;=$C27+ANALYSIS!$G$6)))</f>
        <v>2</v>
      </c>
      <c r="AB27" cm="1">
        <f t="array" ref="AB27">IF(BH27&gt;0,0,SUMPRODUCT((BH$25:BH$124=0)*($B$25:$B$124&gt;=$B27)*($B$25:$B$124&lt;=$B27+ANALYSIS!$G$5)*($C$25:$C$124&gt;=$C27)*($C$25:$C$124&lt;=$C27+ANALYSIS!$G$6)))</f>
        <v>2</v>
      </c>
      <c r="AC27" cm="1">
        <f t="array" ref="AC27">IF(BI27&gt;0,0,SUMPRODUCT((BI$25:BI$124=0)*($B$25:$B$124&gt;=$B27)*($B$25:$B$124&lt;=$B27+ANALYSIS!$G$5)*($C$25:$C$124&gt;=$C27)*($C$25:$C$124&lt;=$C27+ANALYSIS!$G$6)))</f>
        <v>2</v>
      </c>
      <c r="AD27" cm="1">
        <f t="array" ref="AD27">IF(BJ27&gt;0,0,SUMPRODUCT((BJ$25:BJ$124=0)*($B$25:$B$124&gt;=$B27)*($B$25:$B$124&lt;=$B27+ANALYSIS!$G$5)*($C$25:$C$124&gt;=$C27)*($C$25:$C$124&lt;=$C27+ANALYSIS!$G$6)))</f>
        <v>2</v>
      </c>
      <c r="AE27" cm="1">
        <f t="array" ref="AE27">IF(BK27&gt;0,0,SUMPRODUCT((BK$25:BK$124=0)*($B$25:$B$124&gt;=$B27)*($B$25:$B$124&lt;=$B27+ANALYSIS!$G$5)*($C$25:$C$124&gt;=$C27)*($C$25:$C$124&lt;=$C27+ANALYSIS!$G$6)))</f>
        <v>0</v>
      </c>
      <c r="AF27" cm="1">
        <f t="array" ref="AF27">IF(BL27&gt;0,0,SUMPRODUCT((BL$25:BL$124=0)*($B$25:$B$124&gt;=$B27)*($B$25:$B$124&lt;=$B27+ANALYSIS!$G$5)*($C$25:$C$124&gt;=$C27)*($C$25:$C$124&lt;=$C27+ANALYSIS!$G$6)))</f>
        <v>0</v>
      </c>
      <c r="AH27">
        <f>IF(AND(AX27=0,$B27&gt;=R$22,$B27&lt;=R$22+ANALYSIS!$G$5,$C27&gt;=R$23,$C27&lt;=R$23+ANALYSIS!$G$6),1,0)</f>
        <v>0</v>
      </c>
      <c r="AI27">
        <f>IF(AND(AY27=0,$B27&gt;=S$22,$B27&lt;=S$22+ANALYSIS!$G$5,$C27&gt;=S$23,$C27&lt;=S$23+ANALYSIS!$G$6),1,0)</f>
        <v>0</v>
      </c>
      <c r="AJ27">
        <f>IF(AND(AZ27=0,$B27&gt;=T$22,$B27&lt;=T$22+ANALYSIS!$G$5,$C27&gt;=T$23,$C27&lt;=T$23+ANALYSIS!$G$6),1,0)</f>
        <v>0</v>
      </c>
      <c r="AK27">
        <f>IF(AND(BA27=0,$B27&gt;=U$22,$B27&lt;=U$22+ANALYSIS!$G$5,$C27&gt;=U$23,$C27&lt;=U$23+ANALYSIS!$G$6),1,0)</f>
        <v>0</v>
      </c>
      <c r="AL27">
        <f>IF(AND(BB27=0,$B27&gt;=V$22,$B27&lt;=V$22+ANALYSIS!$G$5,$C27&gt;=V$23,$C27&lt;=V$23+ANALYSIS!$G$6),1,0)</f>
        <v>0</v>
      </c>
      <c r="AM27">
        <f>IF(AND(BC27=0,$B27&gt;=W$22,$B27&lt;=W$22+ANALYSIS!$G$5,$C27&gt;=W$23,$C27&lt;=W$23+ANALYSIS!$G$6),1,0)</f>
        <v>0</v>
      </c>
      <c r="AN27">
        <f>IF(AND(BD27=0,$B27&gt;=X$22,$B27&lt;=X$22+ANALYSIS!$G$5,$C27&gt;=X$23,$C27&lt;=X$23+ANALYSIS!$G$6),1,0)</f>
        <v>0</v>
      </c>
      <c r="AO27">
        <f>IF(AND(BE27=0,$B27&gt;=Y$22,$B27&lt;=Y$22+ANALYSIS!$G$5,$C27&gt;=Y$23,$C27&lt;=Y$23+ANALYSIS!$G$6),1,0)</f>
        <v>0</v>
      </c>
      <c r="AP27">
        <f>IF(AND(BF27=0,$B27&gt;=Z$22,$B27&lt;=Z$22+ANALYSIS!$G$5,$C27&gt;=Z$23,$C27&lt;=Z$23+ANALYSIS!$G$6),1,0)</f>
        <v>0</v>
      </c>
      <c r="AQ27">
        <f>IF(AND(BG27=0,$B27&gt;=AA$22,$B27&lt;=AA$22+ANALYSIS!$G$5,$C27&gt;=AA$23,$C27&lt;=AA$23+ANALYSIS!$G$6),1,0)</f>
        <v>0</v>
      </c>
      <c r="AR27">
        <f>IF(AND(BH27=0,$B27&gt;=AB$22,$B27&lt;=AB$22+ANALYSIS!$G$5,$C27&gt;=AB$23,$C27&lt;=AB$23+ANALYSIS!$G$6),1,0)</f>
        <v>0</v>
      </c>
      <c r="AS27">
        <f>IF(AND(BI27=0,$B27&gt;=AC$22,$B27&lt;=AC$22+ANALYSIS!$G$5,$C27&gt;=AC$23,$C27&lt;=AC$23+ANALYSIS!$G$6),1,0)</f>
        <v>0</v>
      </c>
      <c r="AT27">
        <f>IF(AND(BJ27=0,$B27&gt;=AD$22,$B27&lt;=AD$22+ANALYSIS!$G$5,$C27&gt;=AD$23,$C27&lt;=AD$23+ANALYSIS!$G$6),1,0)</f>
        <v>1</v>
      </c>
      <c r="AU27">
        <f>IF(AND(BK27=0,$B27&gt;=AE$22,$B27&lt;=AE$22+ANALYSIS!$G$5,$C27&gt;=AE$23,$C27&lt;=AE$23+ANALYSIS!$G$6),1,0)</f>
        <v>0</v>
      </c>
      <c r="AV27">
        <f>IF(AND(BL27=0,$B27&gt;=AF$22,$B27&lt;=AF$22+ANALYSIS!$G$5,$C27&gt;=AF$23,$C27&lt;=AF$23+ANALYSIS!$G$6),1,0)</f>
        <v>0</v>
      </c>
      <c r="AX27">
        <v>0</v>
      </c>
      <c r="AY27">
        <f t="shared" si="13"/>
        <v>0</v>
      </c>
      <c r="AZ27">
        <f t="shared" si="11"/>
        <v>0</v>
      </c>
      <c r="BA27">
        <f t="shared" si="11"/>
        <v>0</v>
      </c>
      <c r="BB27">
        <f t="shared" si="11"/>
        <v>0</v>
      </c>
      <c r="BC27">
        <f t="shared" si="11"/>
        <v>0</v>
      </c>
      <c r="BD27">
        <f t="shared" si="11"/>
        <v>0</v>
      </c>
      <c r="BE27">
        <f t="shared" si="11"/>
        <v>0</v>
      </c>
      <c r="BF27">
        <f t="shared" si="11"/>
        <v>0</v>
      </c>
      <c r="BG27">
        <f t="shared" si="11"/>
        <v>0</v>
      </c>
      <c r="BH27">
        <f t="shared" si="11"/>
        <v>0</v>
      </c>
      <c r="BI27">
        <f t="shared" si="11"/>
        <v>0</v>
      </c>
      <c r="BJ27">
        <f t="shared" si="11"/>
        <v>0</v>
      </c>
      <c r="BK27">
        <f t="shared" si="11"/>
        <v>1</v>
      </c>
      <c r="BL27">
        <f t="shared" si="11"/>
        <v>1</v>
      </c>
      <c r="BM27">
        <f t="shared" si="11"/>
        <v>1</v>
      </c>
    </row>
    <row r="28" spans="1:65" x14ac:dyDescent="0.25">
      <c r="A28" s="41" t="str">
        <f>ANALYSIS!B34</f>
        <v>19-04</v>
      </c>
      <c r="B28" s="41">
        <f>ANALYSIS!E34</f>
        <v>55</v>
      </c>
      <c r="C28" s="41">
        <f>ANALYSIS!G34</f>
        <v>24.03</v>
      </c>
      <c r="D28" s="41">
        <f t="shared" si="12"/>
        <v>1</v>
      </c>
      <c r="R28" cm="1">
        <f t="array" ref="R28">IF(AX28&gt;0,0,SUMPRODUCT((AX$25:AX$124=0)*($B$25:$B$124&gt;=$B28)*($B$25:$B$124&lt;=$B28+ANALYSIS!$G$5)*($C$25:$C$124&gt;=$C28)*($C$25:$C$124&lt;=$C28+ANALYSIS!$G$6)))</f>
        <v>9</v>
      </c>
      <c r="S28" cm="1">
        <f t="array" ref="S28">IF(AY28&gt;0,0,SUMPRODUCT((AY$25:AY$124=0)*($B$25:$B$124&gt;=$B28)*($B$25:$B$124&lt;=$B28+ANALYSIS!$G$5)*($C$25:$C$124&gt;=$C28)*($C$25:$C$124&lt;=$C28+ANALYSIS!$G$6)))</f>
        <v>0</v>
      </c>
      <c r="T28" cm="1">
        <f t="array" ref="T28">IF(AZ28&gt;0,0,SUMPRODUCT((AZ$25:AZ$124=0)*($B$25:$B$124&gt;=$B28)*($B$25:$B$124&lt;=$B28+ANALYSIS!$G$5)*($C$25:$C$124&gt;=$C28)*($C$25:$C$124&lt;=$C28+ANALYSIS!$G$6)))</f>
        <v>0</v>
      </c>
      <c r="U28" cm="1">
        <f t="array" ref="U28">IF(BA28&gt;0,0,SUMPRODUCT((BA$25:BA$124=0)*($B$25:$B$124&gt;=$B28)*($B$25:$B$124&lt;=$B28+ANALYSIS!$G$5)*($C$25:$C$124&gt;=$C28)*($C$25:$C$124&lt;=$C28+ANALYSIS!$G$6)))</f>
        <v>0</v>
      </c>
      <c r="V28" cm="1">
        <f t="array" ref="V28">IF(BB28&gt;0,0,SUMPRODUCT((BB$25:BB$124=0)*($B$25:$B$124&gt;=$B28)*($B$25:$B$124&lt;=$B28+ANALYSIS!$G$5)*($C$25:$C$124&gt;=$C28)*($C$25:$C$124&lt;=$C28+ANALYSIS!$G$6)))</f>
        <v>0</v>
      </c>
      <c r="W28" cm="1">
        <f t="array" ref="W28">IF(BC28&gt;0,0,SUMPRODUCT((BC$25:BC$124=0)*($B$25:$B$124&gt;=$B28)*($B$25:$B$124&lt;=$B28+ANALYSIS!$G$5)*($C$25:$C$124&gt;=$C28)*($C$25:$C$124&lt;=$C28+ANALYSIS!$G$6)))</f>
        <v>0</v>
      </c>
      <c r="X28" cm="1">
        <f t="array" ref="X28">IF(BD28&gt;0,0,SUMPRODUCT((BD$25:BD$124=0)*($B$25:$B$124&gt;=$B28)*($B$25:$B$124&lt;=$B28+ANALYSIS!$G$5)*($C$25:$C$124&gt;=$C28)*($C$25:$C$124&lt;=$C28+ANALYSIS!$G$6)))</f>
        <v>0</v>
      </c>
      <c r="Y28" cm="1">
        <f t="array" ref="Y28">IF(BE28&gt;0,0,SUMPRODUCT((BE$25:BE$124=0)*($B$25:$B$124&gt;=$B28)*($B$25:$B$124&lt;=$B28+ANALYSIS!$G$5)*($C$25:$C$124&gt;=$C28)*($C$25:$C$124&lt;=$C28+ANALYSIS!$G$6)))</f>
        <v>0</v>
      </c>
      <c r="Z28" cm="1">
        <f t="array" ref="Z28">IF(BF28&gt;0,0,SUMPRODUCT((BF$25:BF$124=0)*($B$25:$B$124&gt;=$B28)*($B$25:$B$124&lt;=$B28+ANALYSIS!$G$5)*($C$25:$C$124&gt;=$C28)*($C$25:$C$124&lt;=$C28+ANALYSIS!$G$6)))</f>
        <v>0</v>
      </c>
      <c r="AA28" cm="1">
        <f t="array" ref="AA28">IF(BG28&gt;0,0,SUMPRODUCT((BG$25:BG$124=0)*($B$25:$B$124&gt;=$B28)*($B$25:$B$124&lt;=$B28+ANALYSIS!$G$5)*($C$25:$C$124&gt;=$C28)*($C$25:$C$124&lt;=$C28+ANALYSIS!$G$6)))</f>
        <v>0</v>
      </c>
      <c r="AB28" cm="1">
        <f t="array" ref="AB28">IF(BH28&gt;0,0,SUMPRODUCT((BH$25:BH$124=0)*($B$25:$B$124&gt;=$B28)*($B$25:$B$124&lt;=$B28+ANALYSIS!$G$5)*($C$25:$C$124&gt;=$C28)*($C$25:$C$124&lt;=$C28+ANALYSIS!$G$6)))</f>
        <v>0</v>
      </c>
      <c r="AC28" cm="1">
        <f t="array" ref="AC28">IF(BI28&gt;0,0,SUMPRODUCT((BI$25:BI$124=0)*($B$25:$B$124&gt;=$B28)*($B$25:$B$124&lt;=$B28+ANALYSIS!$G$5)*($C$25:$C$124&gt;=$C28)*($C$25:$C$124&lt;=$C28+ANALYSIS!$G$6)))</f>
        <v>0</v>
      </c>
      <c r="AD28" cm="1">
        <f t="array" ref="AD28">IF(BJ28&gt;0,0,SUMPRODUCT((BJ$25:BJ$124=0)*($B$25:$B$124&gt;=$B28)*($B$25:$B$124&lt;=$B28+ANALYSIS!$G$5)*($C$25:$C$124&gt;=$C28)*($C$25:$C$124&lt;=$C28+ANALYSIS!$G$6)))</f>
        <v>0</v>
      </c>
      <c r="AE28" cm="1">
        <f t="array" ref="AE28">IF(BK28&gt;0,0,SUMPRODUCT((BK$25:BK$124=0)*($B$25:$B$124&gt;=$B28)*($B$25:$B$124&lt;=$B28+ANALYSIS!$G$5)*($C$25:$C$124&gt;=$C28)*($C$25:$C$124&lt;=$C28+ANALYSIS!$G$6)))</f>
        <v>0</v>
      </c>
      <c r="AF28" cm="1">
        <f t="array" ref="AF28">IF(BL28&gt;0,0,SUMPRODUCT((BL$25:BL$124=0)*($B$25:$B$124&gt;=$B28)*($B$25:$B$124&lt;=$B28+ANALYSIS!$G$5)*($C$25:$C$124&gt;=$C28)*($C$25:$C$124&lt;=$C28+ANALYSIS!$G$6)))</f>
        <v>0</v>
      </c>
      <c r="AH28">
        <f>IF(AND(AX28=0,$B28&gt;=R$22,$B28&lt;=R$22+ANALYSIS!$G$5,$C28&gt;=R$23,$C28&lt;=R$23+ANALYSIS!$G$6),1,0)</f>
        <v>1</v>
      </c>
      <c r="AI28">
        <f>IF(AND(AY28=0,$B28&gt;=S$22,$B28&lt;=S$22+ANALYSIS!$G$5,$C28&gt;=S$23,$C28&lt;=S$23+ANALYSIS!$G$6),1,0)</f>
        <v>0</v>
      </c>
      <c r="AJ28">
        <f>IF(AND(AZ28=0,$B28&gt;=T$22,$B28&lt;=T$22+ANALYSIS!$G$5,$C28&gt;=T$23,$C28&lt;=T$23+ANALYSIS!$G$6),1,0)</f>
        <v>0</v>
      </c>
      <c r="AK28">
        <f>IF(AND(BA28=0,$B28&gt;=U$22,$B28&lt;=U$22+ANALYSIS!$G$5,$C28&gt;=U$23,$C28&lt;=U$23+ANALYSIS!$G$6),1,0)</f>
        <v>0</v>
      </c>
      <c r="AL28">
        <f>IF(AND(BB28=0,$B28&gt;=V$22,$B28&lt;=V$22+ANALYSIS!$G$5,$C28&gt;=V$23,$C28&lt;=V$23+ANALYSIS!$G$6),1,0)</f>
        <v>0</v>
      </c>
      <c r="AM28">
        <f>IF(AND(BC28=0,$B28&gt;=W$22,$B28&lt;=W$22+ANALYSIS!$G$5,$C28&gt;=W$23,$C28&lt;=W$23+ANALYSIS!$G$6),1,0)</f>
        <v>0</v>
      </c>
      <c r="AN28">
        <f>IF(AND(BD28=0,$B28&gt;=X$22,$B28&lt;=X$22+ANALYSIS!$G$5,$C28&gt;=X$23,$C28&lt;=X$23+ANALYSIS!$G$6),1,0)</f>
        <v>0</v>
      </c>
      <c r="AO28">
        <f>IF(AND(BE28=0,$B28&gt;=Y$22,$B28&lt;=Y$22+ANALYSIS!$G$5,$C28&gt;=Y$23,$C28&lt;=Y$23+ANALYSIS!$G$6),1,0)</f>
        <v>0</v>
      </c>
      <c r="AP28">
        <f>IF(AND(BF28=0,$B28&gt;=Z$22,$B28&lt;=Z$22+ANALYSIS!$G$5,$C28&gt;=Z$23,$C28&lt;=Z$23+ANALYSIS!$G$6),1,0)</f>
        <v>0</v>
      </c>
      <c r="AQ28">
        <f>IF(AND(BG28=0,$B28&gt;=AA$22,$B28&lt;=AA$22+ANALYSIS!$G$5,$C28&gt;=AA$23,$C28&lt;=AA$23+ANALYSIS!$G$6),1,0)</f>
        <v>0</v>
      </c>
      <c r="AR28">
        <f>IF(AND(BH28=0,$B28&gt;=AB$22,$B28&lt;=AB$22+ANALYSIS!$G$5,$C28&gt;=AB$23,$C28&lt;=AB$23+ANALYSIS!$G$6),1,0)</f>
        <v>0</v>
      </c>
      <c r="AS28">
        <f>IF(AND(BI28=0,$B28&gt;=AC$22,$B28&lt;=AC$22+ANALYSIS!$G$5,$C28&gt;=AC$23,$C28&lt;=AC$23+ANALYSIS!$G$6),1,0)</f>
        <v>0</v>
      </c>
      <c r="AT28">
        <f>IF(AND(BJ28=0,$B28&gt;=AD$22,$B28&lt;=AD$22+ANALYSIS!$G$5,$C28&gt;=AD$23,$C28&lt;=AD$23+ANALYSIS!$G$6),1,0)</f>
        <v>0</v>
      </c>
      <c r="AU28">
        <f>IF(AND(BK28=0,$B28&gt;=AE$22,$B28&lt;=AE$22+ANALYSIS!$G$5,$C28&gt;=AE$23,$C28&lt;=AE$23+ANALYSIS!$G$6),1,0)</f>
        <v>0</v>
      </c>
      <c r="AV28">
        <f>IF(AND(BL28=0,$B28&gt;=AF$22,$B28&lt;=AF$22+ANALYSIS!$G$5,$C28&gt;=AF$23,$C28&lt;=AF$23+ANALYSIS!$G$6),1,0)</f>
        <v>0</v>
      </c>
      <c r="AX28">
        <v>0</v>
      </c>
      <c r="AY28">
        <f t="shared" si="13"/>
        <v>1</v>
      </c>
      <c r="AZ28">
        <f t="shared" si="11"/>
        <v>1</v>
      </c>
      <c r="BA28">
        <f t="shared" si="11"/>
        <v>1</v>
      </c>
      <c r="BB28">
        <f t="shared" si="11"/>
        <v>1</v>
      </c>
      <c r="BC28">
        <f t="shared" si="11"/>
        <v>1</v>
      </c>
      <c r="BD28">
        <f t="shared" si="11"/>
        <v>1</v>
      </c>
      <c r="BE28">
        <f t="shared" si="11"/>
        <v>1</v>
      </c>
      <c r="BF28">
        <f t="shared" si="11"/>
        <v>1</v>
      </c>
      <c r="BG28">
        <f t="shared" si="11"/>
        <v>1</v>
      </c>
      <c r="BH28">
        <f t="shared" si="11"/>
        <v>1</v>
      </c>
      <c r="BI28">
        <f t="shared" si="11"/>
        <v>1</v>
      </c>
      <c r="BJ28">
        <f t="shared" si="11"/>
        <v>1</v>
      </c>
      <c r="BK28">
        <f t="shared" si="11"/>
        <v>1</v>
      </c>
      <c r="BL28">
        <f t="shared" si="11"/>
        <v>1</v>
      </c>
      <c r="BM28">
        <f t="shared" si="11"/>
        <v>1</v>
      </c>
    </row>
    <row r="29" spans="1:65" x14ac:dyDescent="0.25">
      <c r="A29" s="41" t="str">
        <f>ANALYSIS!B35</f>
        <v>19-05</v>
      </c>
      <c r="B29" s="41">
        <f>ANALYSIS!E35</f>
        <v>56</v>
      </c>
      <c r="C29" s="41">
        <f>ANALYSIS!G35</f>
        <v>21.93</v>
      </c>
      <c r="D29" s="41">
        <f t="shared" si="12"/>
        <v>4</v>
      </c>
      <c r="R29" cm="1">
        <f t="array" ref="R29">IF(AX29&gt;0,0,SUMPRODUCT((AX$25:AX$124=0)*($B$25:$B$124&gt;=$B29)*($B$25:$B$124&lt;=$B29+ANALYSIS!$G$5)*($C$25:$C$124&gt;=$C29)*($C$25:$C$124&lt;=$C29+ANALYSIS!$G$6)))</f>
        <v>5</v>
      </c>
      <c r="S29" cm="1">
        <f t="array" ref="S29">IF(AY29&gt;0,0,SUMPRODUCT((AY$25:AY$124=0)*($B$25:$B$124&gt;=$B29)*($B$25:$B$124&lt;=$B29+ANALYSIS!$G$5)*($C$25:$C$124&gt;=$C29)*($C$25:$C$124&lt;=$C29+ANALYSIS!$G$6)))</f>
        <v>5</v>
      </c>
      <c r="T29" cm="1">
        <f t="array" ref="T29">IF(AZ29&gt;0,0,SUMPRODUCT((AZ$25:AZ$124=0)*($B$25:$B$124&gt;=$B29)*($B$25:$B$124&lt;=$B29+ANALYSIS!$G$5)*($C$25:$C$124&gt;=$C29)*($C$25:$C$124&lt;=$C29+ANALYSIS!$G$6)))</f>
        <v>5</v>
      </c>
      <c r="U29" cm="1">
        <f t="array" ref="U29">IF(BA29&gt;0,0,SUMPRODUCT((BA$25:BA$124=0)*($B$25:$B$124&gt;=$B29)*($B$25:$B$124&lt;=$B29+ANALYSIS!$G$5)*($C$25:$C$124&gt;=$C29)*($C$25:$C$124&lt;=$C29+ANALYSIS!$G$6)))</f>
        <v>5</v>
      </c>
      <c r="V29" cm="1">
        <f t="array" ref="V29">IF(BB29&gt;0,0,SUMPRODUCT((BB$25:BB$124=0)*($B$25:$B$124&gt;=$B29)*($B$25:$B$124&lt;=$B29+ANALYSIS!$G$5)*($C$25:$C$124&gt;=$C29)*($C$25:$C$124&lt;=$C29+ANALYSIS!$G$6)))</f>
        <v>0</v>
      </c>
      <c r="W29" cm="1">
        <f t="array" ref="W29">IF(BC29&gt;0,0,SUMPRODUCT((BC$25:BC$124=0)*($B$25:$B$124&gt;=$B29)*($B$25:$B$124&lt;=$B29+ANALYSIS!$G$5)*($C$25:$C$124&gt;=$C29)*($C$25:$C$124&lt;=$C29+ANALYSIS!$G$6)))</f>
        <v>0</v>
      </c>
      <c r="X29" cm="1">
        <f t="array" ref="X29">IF(BD29&gt;0,0,SUMPRODUCT((BD$25:BD$124=0)*($B$25:$B$124&gt;=$B29)*($B$25:$B$124&lt;=$B29+ANALYSIS!$G$5)*($C$25:$C$124&gt;=$C29)*($C$25:$C$124&lt;=$C29+ANALYSIS!$G$6)))</f>
        <v>0</v>
      </c>
      <c r="Y29" cm="1">
        <f t="array" ref="Y29">IF(BE29&gt;0,0,SUMPRODUCT((BE$25:BE$124=0)*($B$25:$B$124&gt;=$B29)*($B$25:$B$124&lt;=$B29+ANALYSIS!$G$5)*($C$25:$C$124&gt;=$C29)*($C$25:$C$124&lt;=$C29+ANALYSIS!$G$6)))</f>
        <v>0</v>
      </c>
      <c r="Z29" cm="1">
        <f t="array" ref="Z29">IF(BF29&gt;0,0,SUMPRODUCT((BF$25:BF$124=0)*($B$25:$B$124&gt;=$B29)*($B$25:$B$124&lt;=$B29+ANALYSIS!$G$5)*($C$25:$C$124&gt;=$C29)*($C$25:$C$124&lt;=$C29+ANALYSIS!$G$6)))</f>
        <v>0</v>
      </c>
      <c r="AA29" cm="1">
        <f t="array" ref="AA29">IF(BG29&gt;0,0,SUMPRODUCT((BG$25:BG$124=0)*($B$25:$B$124&gt;=$B29)*($B$25:$B$124&lt;=$B29+ANALYSIS!$G$5)*($C$25:$C$124&gt;=$C29)*($C$25:$C$124&lt;=$C29+ANALYSIS!$G$6)))</f>
        <v>0</v>
      </c>
      <c r="AB29" cm="1">
        <f t="array" ref="AB29">IF(BH29&gt;0,0,SUMPRODUCT((BH$25:BH$124=0)*($B$25:$B$124&gt;=$B29)*($B$25:$B$124&lt;=$B29+ANALYSIS!$G$5)*($C$25:$C$124&gt;=$C29)*($C$25:$C$124&lt;=$C29+ANALYSIS!$G$6)))</f>
        <v>0</v>
      </c>
      <c r="AC29" cm="1">
        <f t="array" ref="AC29">IF(BI29&gt;0,0,SUMPRODUCT((BI$25:BI$124=0)*($B$25:$B$124&gt;=$B29)*($B$25:$B$124&lt;=$B29+ANALYSIS!$G$5)*($C$25:$C$124&gt;=$C29)*($C$25:$C$124&lt;=$C29+ANALYSIS!$G$6)))</f>
        <v>0</v>
      </c>
      <c r="AD29" cm="1">
        <f t="array" ref="AD29">IF(BJ29&gt;0,0,SUMPRODUCT((BJ$25:BJ$124=0)*($B$25:$B$124&gt;=$B29)*($B$25:$B$124&lt;=$B29+ANALYSIS!$G$5)*($C$25:$C$124&gt;=$C29)*($C$25:$C$124&lt;=$C29+ANALYSIS!$G$6)))</f>
        <v>0</v>
      </c>
      <c r="AE29" cm="1">
        <f t="array" ref="AE29">IF(BK29&gt;0,0,SUMPRODUCT((BK$25:BK$124=0)*($B$25:$B$124&gt;=$B29)*($B$25:$B$124&lt;=$B29+ANALYSIS!$G$5)*($C$25:$C$124&gt;=$C29)*($C$25:$C$124&lt;=$C29+ANALYSIS!$G$6)))</f>
        <v>0</v>
      </c>
      <c r="AF29" cm="1">
        <f t="array" ref="AF29">IF(BL29&gt;0,0,SUMPRODUCT((BL$25:BL$124=0)*($B$25:$B$124&gt;=$B29)*($B$25:$B$124&lt;=$B29+ANALYSIS!$G$5)*($C$25:$C$124&gt;=$C29)*($C$25:$C$124&lt;=$C29+ANALYSIS!$G$6)))</f>
        <v>0</v>
      </c>
      <c r="AH29">
        <f>IF(AND(AX29=0,$B29&gt;=R$22,$B29&lt;=R$22+ANALYSIS!$G$5,$C29&gt;=R$23,$C29&lt;=R$23+ANALYSIS!$G$6),1,0)</f>
        <v>0</v>
      </c>
      <c r="AI29">
        <f>IF(AND(AY29=0,$B29&gt;=S$22,$B29&lt;=S$22+ANALYSIS!$G$5,$C29&gt;=S$23,$C29&lt;=S$23+ANALYSIS!$G$6),1,0)</f>
        <v>0</v>
      </c>
      <c r="AJ29">
        <f>IF(AND(AZ29=0,$B29&gt;=T$22,$B29&lt;=T$22+ANALYSIS!$G$5,$C29&gt;=T$23,$C29&lt;=T$23+ANALYSIS!$G$6),1,0)</f>
        <v>0</v>
      </c>
      <c r="AK29">
        <f>IF(AND(BA29=0,$B29&gt;=U$22,$B29&lt;=U$22+ANALYSIS!$G$5,$C29&gt;=U$23,$C29&lt;=U$23+ANALYSIS!$G$6),1,0)</f>
        <v>1</v>
      </c>
      <c r="AL29">
        <f>IF(AND(BB29=0,$B29&gt;=V$22,$B29&lt;=V$22+ANALYSIS!$G$5,$C29&gt;=V$23,$C29&lt;=V$23+ANALYSIS!$G$6),1,0)</f>
        <v>0</v>
      </c>
      <c r="AM29">
        <f>IF(AND(BC29=0,$B29&gt;=W$22,$B29&lt;=W$22+ANALYSIS!$G$5,$C29&gt;=W$23,$C29&lt;=W$23+ANALYSIS!$G$6),1,0)</f>
        <v>0</v>
      </c>
      <c r="AN29">
        <f>IF(AND(BD29=0,$B29&gt;=X$22,$B29&lt;=X$22+ANALYSIS!$G$5,$C29&gt;=X$23,$C29&lt;=X$23+ANALYSIS!$G$6),1,0)</f>
        <v>0</v>
      </c>
      <c r="AO29">
        <f>IF(AND(BE29=0,$B29&gt;=Y$22,$B29&lt;=Y$22+ANALYSIS!$G$5,$C29&gt;=Y$23,$C29&lt;=Y$23+ANALYSIS!$G$6),1,0)</f>
        <v>0</v>
      </c>
      <c r="AP29">
        <f>IF(AND(BF29=0,$B29&gt;=Z$22,$B29&lt;=Z$22+ANALYSIS!$G$5,$C29&gt;=Z$23,$C29&lt;=Z$23+ANALYSIS!$G$6),1,0)</f>
        <v>0</v>
      </c>
      <c r="AQ29">
        <f>IF(AND(BG29=0,$B29&gt;=AA$22,$B29&lt;=AA$22+ANALYSIS!$G$5,$C29&gt;=AA$23,$C29&lt;=AA$23+ANALYSIS!$G$6),1,0)</f>
        <v>0</v>
      </c>
      <c r="AR29">
        <f>IF(AND(BH29=0,$B29&gt;=AB$22,$B29&lt;=AB$22+ANALYSIS!$G$5,$C29&gt;=AB$23,$C29&lt;=AB$23+ANALYSIS!$G$6),1,0)</f>
        <v>0</v>
      </c>
      <c r="AS29">
        <f>IF(AND(BI29=0,$B29&gt;=AC$22,$B29&lt;=AC$22+ANALYSIS!$G$5,$C29&gt;=AC$23,$C29&lt;=AC$23+ANALYSIS!$G$6),1,0)</f>
        <v>0</v>
      </c>
      <c r="AT29">
        <f>IF(AND(BJ29=0,$B29&gt;=AD$22,$B29&lt;=AD$22+ANALYSIS!$G$5,$C29&gt;=AD$23,$C29&lt;=AD$23+ANALYSIS!$G$6),1,0)</f>
        <v>0</v>
      </c>
      <c r="AU29">
        <f>IF(AND(BK29=0,$B29&gt;=AE$22,$B29&lt;=AE$22+ANALYSIS!$G$5,$C29&gt;=AE$23,$C29&lt;=AE$23+ANALYSIS!$G$6),1,0)</f>
        <v>0</v>
      </c>
      <c r="AV29">
        <f>IF(AND(BL29=0,$B29&gt;=AF$22,$B29&lt;=AF$22+ANALYSIS!$G$5,$C29&gt;=AF$23,$C29&lt;=AF$23+ANALYSIS!$G$6),1,0)</f>
        <v>0</v>
      </c>
      <c r="AX29">
        <v>0</v>
      </c>
      <c r="AY29">
        <f t="shared" si="13"/>
        <v>0</v>
      </c>
      <c r="AZ29">
        <f t="shared" si="11"/>
        <v>0</v>
      </c>
      <c r="BA29">
        <f t="shared" si="11"/>
        <v>0</v>
      </c>
      <c r="BB29">
        <f t="shared" si="11"/>
        <v>1</v>
      </c>
      <c r="BC29">
        <f t="shared" si="11"/>
        <v>1</v>
      </c>
      <c r="BD29">
        <f t="shared" si="11"/>
        <v>1</v>
      </c>
      <c r="BE29">
        <f t="shared" si="11"/>
        <v>1</v>
      </c>
      <c r="BF29">
        <f t="shared" si="11"/>
        <v>1</v>
      </c>
      <c r="BG29">
        <f t="shared" si="11"/>
        <v>1</v>
      </c>
      <c r="BH29">
        <f t="shared" si="11"/>
        <v>1</v>
      </c>
      <c r="BI29">
        <f t="shared" si="11"/>
        <v>1</v>
      </c>
      <c r="BJ29">
        <f t="shared" si="11"/>
        <v>1</v>
      </c>
      <c r="BK29">
        <f t="shared" si="11"/>
        <v>1</v>
      </c>
      <c r="BL29">
        <f t="shared" si="11"/>
        <v>1</v>
      </c>
      <c r="BM29">
        <f t="shared" si="11"/>
        <v>1</v>
      </c>
    </row>
    <row r="30" spans="1:65" x14ac:dyDescent="0.25">
      <c r="A30" s="41" t="str">
        <f>ANALYSIS!B36</f>
        <v>19-06</v>
      </c>
      <c r="B30" s="41">
        <f>ANALYSIS!E36</f>
        <v>55</v>
      </c>
      <c r="C30" s="41">
        <f>ANALYSIS!G36</f>
        <v>23.85</v>
      </c>
      <c r="D30" s="41">
        <f t="shared" si="12"/>
        <v>1</v>
      </c>
      <c r="R30" cm="1">
        <f t="array" ref="R30">IF(AX30&gt;0,0,SUMPRODUCT((AX$25:AX$124=0)*($B$25:$B$124&gt;=$B30)*($B$25:$B$124&lt;=$B30+ANALYSIS!$G$5)*($C$25:$C$124&gt;=$C30)*($C$25:$C$124&lt;=$C30+ANALYSIS!$G$6)))</f>
        <v>14</v>
      </c>
      <c r="S30" cm="1">
        <f t="array" ref="S30">IF(AY30&gt;0,0,SUMPRODUCT((AY$25:AY$124=0)*($B$25:$B$124&gt;=$B30)*($B$25:$B$124&lt;=$B30+ANALYSIS!$G$5)*($C$25:$C$124&gt;=$C30)*($C$25:$C$124&lt;=$C30+ANALYSIS!$G$6)))</f>
        <v>0</v>
      </c>
      <c r="T30" cm="1">
        <f t="array" ref="T30">IF(AZ30&gt;0,0,SUMPRODUCT((AZ$25:AZ$124=0)*($B$25:$B$124&gt;=$B30)*($B$25:$B$124&lt;=$B30+ANALYSIS!$G$5)*($C$25:$C$124&gt;=$C30)*($C$25:$C$124&lt;=$C30+ANALYSIS!$G$6)))</f>
        <v>0</v>
      </c>
      <c r="U30" cm="1">
        <f t="array" ref="U30">IF(BA30&gt;0,0,SUMPRODUCT((BA$25:BA$124=0)*($B$25:$B$124&gt;=$B30)*($B$25:$B$124&lt;=$B30+ANALYSIS!$G$5)*($C$25:$C$124&gt;=$C30)*($C$25:$C$124&lt;=$C30+ANALYSIS!$G$6)))</f>
        <v>0</v>
      </c>
      <c r="V30" cm="1">
        <f t="array" ref="V30">IF(BB30&gt;0,0,SUMPRODUCT((BB$25:BB$124=0)*($B$25:$B$124&gt;=$B30)*($B$25:$B$124&lt;=$B30+ANALYSIS!$G$5)*($C$25:$C$124&gt;=$C30)*($C$25:$C$124&lt;=$C30+ANALYSIS!$G$6)))</f>
        <v>0</v>
      </c>
      <c r="W30" cm="1">
        <f t="array" ref="W30">IF(BC30&gt;0,0,SUMPRODUCT((BC$25:BC$124=0)*($B$25:$B$124&gt;=$B30)*($B$25:$B$124&lt;=$B30+ANALYSIS!$G$5)*($C$25:$C$124&gt;=$C30)*($C$25:$C$124&lt;=$C30+ANALYSIS!$G$6)))</f>
        <v>0</v>
      </c>
      <c r="X30" cm="1">
        <f t="array" ref="X30">IF(BD30&gt;0,0,SUMPRODUCT((BD$25:BD$124=0)*($B$25:$B$124&gt;=$B30)*($B$25:$B$124&lt;=$B30+ANALYSIS!$G$5)*($C$25:$C$124&gt;=$C30)*($C$25:$C$124&lt;=$C30+ANALYSIS!$G$6)))</f>
        <v>0</v>
      </c>
      <c r="Y30" cm="1">
        <f t="array" ref="Y30">IF(BE30&gt;0,0,SUMPRODUCT((BE$25:BE$124=0)*($B$25:$B$124&gt;=$B30)*($B$25:$B$124&lt;=$B30+ANALYSIS!$G$5)*($C$25:$C$124&gt;=$C30)*($C$25:$C$124&lt;=$C30+ANALYSIS!$G$6)))</f>
        <v>0</v>
      </c>
      <c r="Z30" cm="1">
        <f t="array" ref="Z30">IF(BF30&gt;0,0,SUMPRODUCT((BF$25:BF$124=0)*($B$25:$B$124&gt;=$B30)*($B$25:$B$124&lt;=$B30+ANALYSIS!$G$5)*($C$25:$C$124&gt;=$C30)*($C$25:$C$124&lt;=$C30+ANALYSIS!$G$6)))</f>
        <v>0</v>
      </c>
      <c r="AA30" cm="1">
        <f t="array" ref="AA30">IF(BG30&gt;0,0,SUMPRODUCT((BG$25:BG$124=0)*($B$25:$B$124&gt;=$B30)*($B$25:$B$124&lt;=$B30+ANALYSIS!$G$5)*($C$25:$C$124&gt;=$C30)*($C$25:$C$124&lt;=$C30+ANALYSIS!$G$6)))</f>
        <v>0</v>
      </c>
      <c r="AB30" cm="1">
        <f t="array" ref="AB30">IF(BH30&gt;0,0,SUMPRODUCT((BH$25:BH$124=0)*($B$25:$B$124&gt;=$B30)*($B$25:$B$124&lt;=$B30+ANALYSIS!$G$5)*($C$25:$C$124&gt;=$C30)*($C$25:$C$124&lt;=$C30+ANALYSIS!$G$6)))</f>
        <v>0</v>
      </c>
      <c r="AC30" cm="1">
        <f t="array" ref="AC30">IF(BI30&gt;0,0,SUMPRODUCT((BI$25:BI$124=0)*($B$25:$B$124&gt;=$B30)*($B$25:$B$124&lt;=$B30+ANALYSIS!$G$5)*($C$25:$C$124&gt;=$C30)*($C$25:$C$124&lt;=$C30+ANALYSIS!$G$6)))</f>
        <v>0</v>
      </c>
      <c r="AD30" cm="1">
        <f t="array" ref="AD30">IF(BJ30&gt;0,0,SUMPRODUCT((BJ$25:BJ$124=0)*($B$25:$B$124&gt;=$B30)*($B$25:$B$124&lt;=$B30+ANALYSIS!$G$5)*($C$25:$C$124&gt;=$C30)*($C$25:$C$124&lt;=$C30+ANALYSIS!$G$6)))</f>
        <v>0</v>
      </c>
      <c r="AE30" cm="1">
        <f t="array" ref="AE30">IF(BK30&gt;0,0,SUMPRODUCT((BK$25:BK$124=0)*($B$25:$B$124&gt;=$B30)*($B$25:$B$124&lt;=$B30+ANALYSIS!$G$5)*($C$25:$C$124&gt;=$C30)*($C$25:$C$124&lt;=$C30+ANALYSIS!$G$6)))</f>
        <v>0</v>
      </c>
      <c r="AF30" cm="1">
        <f t="array" ref="AF30">IF(BL30&gt;0,0,SUMPRODUCT((BL$25:BL$124=0)*($B$25:$B$124&gt;=$B30)*($B$25:$B$124&lt;=$B30+ANALYSIS!$G$5)*($C$25:$C$124&gt;=$C30)*($C$25:$C$124&lt;=$C30+ANALYSIS!$G$6)))</f>
        <v>0</v>
      </c>
      <c r="AH30">
        <f>IF(AND(AX30=0,$B30&gt;=R$22,$B30&lt;=R$22+ANALYSIS!$G$5,$C30&gt;=R$23,$C30&lt;=R$23+ANALYSIS!$G$6),1,0)</f>
        <v>1</v>
      </c>
      <c r="AI30">
        <f>IF(AND(AY30=0,$B30&gt;=S$22,$B30&lt;=S$22+ANALYSIS!$G$5,$C30&gt;=S$23,$C30&lt;=S$23+ANALYSIS!$G$6),1,0)</f>
        <v>0</v>
      </c>
      <c r="AJ30">
        <f>IF(AND(AZ30=0,$B30&gt;=T$22,$B30&lt;=T$22+ANALYSIS!$G$5,$C30&gt;=T$23,$C30&lt;=T$23+ANALYSIS!$G$6),1,0)</f>
        <v>0</v>
      </c>
      <c r="AK30">
        <f>IF(AND(BA30=0,$B30&gt;=U$22,$B30&lt;=U$22+ANALYSIS!$G$5,$C30&gt;=U$23,$C30&lt;=U$23+ANALYSIS!$G$6),1,0)</f>
        <v>0</v>
      </c>
      <c r="AL30">
        <f>IF(AND(BB30=0,$B30&gt;=V$22,$B30&lt;=V$22+ANALYSIS!$G$5,$C30&gt;=V$23,$C30&lt;=V$23+ANALYSIS!$G$6),1,0)</f>
        <v>0</v>
      </c>
      <c r="AM30">
        <f>IF(AND(BC30=0,$B30&gt;=W$22,$B30&lt;=W$22+ANALYSIS!$G$5,$C30&gt;=W$23,$C30&lt;=W$23+ANALYSIS!$G$6),1,0)</f>
        <v>0</v>
      </c>
      <c r="AN30">
        <f>IF(AND(BD30=0,$B30&gt;=X$22,$B30&lt;=X$22+ANALYSIS!$G$5,$C30&gt;=X$23,$C30&lt;=X$23+ANALYSIS!$G$6),1,0)</f>
        <v>0</v>
      </c>
      <c r="AO30">
        <f>IF(AND(BE30=0,$B30&gt;=Y$22,$B30&lt;=Y$22+ANALYSIS!$G$5,$C30&gt;=Y$23,$C30&lt;=Y$23+ANALYSIS!$G$6),1,0)</f>
        <v>0</v>
      </c>
      <c r="AP30">
        <f>IF(AND(BF30=0,$B30&gt;=Z$22,$B30&lt;=Z$22+ANALYSIS!$G$5,$C30&gt;=Z$23,$C30&lt;=Z$23+ANALYSIS!$G$6),1,0)</f>
        <v>0</v>
      </c>
      <c r="AQ30">
        <f>IF(AND(BG30=0,$B30&gt;=AA$22,$B30&lt;=AA$22+ANALYSIS!$G$5,$C30&gt;=AA$23,$C30&lt;=AA$23+ANALYSIS!$G$6),1,0)</f>
        <v>0</v>
      </c>
      <c r="AR30">
        <f>IF(AND(BH30=0,$B30&gt;=AB$22,$B30&lt;=AB$22+ANALYSIS!$G$5,$C30&gt;=AB$23,$C30&lt;=AB$23+ANALYSIS!$G$6),1,0)</f>
        <v>0</v>
      </c>
      <c r="AS30">
        <f>IF(AND(BI30=0,$B30&gt;=AC$22,$B30&lt;=AC$22+ANALYSIS!$G$5,$C30&gt;=AC$23,$C30&lt;=AC$23+ANALYSIS!$G$6),1,0)</f>
        <v>0</v>
      </c>
      <c r="AT30">
        <f>IF(AND(BJ30=0,$B30&gt;=AD$22,$B30&lt;=AD$22+ANALYSIS!$G$5,$C30&gt;=AD$23,$C30&lt;=AD$23+ANALYSIS!$G$6),1,0)</f>
        <v>0</v>
      </c>
      <c r="AU30">
        <f>IF(AND(BK30=0,$B30&gt;=AE$22,$B30&lt;=AE$22+ANALYSIS!$G$5,$C30&gt;=AE$23,$C30&lt;=AE$23+ANALYSIS!$G$6),1,0)</f>
        <v>0</v>
      </c>
      <c r="AV30">
        <f>IF(AND(BL30=0,$B30&gt;=AF$22,$B30&lt;=AF$22+ANALYSIS!$G$5,$C30&gt;=AF$23,$C30&lt;=AF$23+ANALYSIS!$G$6),1,0)</f>
        <v>0</v>
      </c>
      <c r="AX30">
        <v>0</v>
      </c>
      <c r="AY30">
        <f t="shared" si="13"/>
        <v>1</v>
      </c>
      <c r="AZ30">
        <f t="shared" si="11"/>
        <v>1</v>
      </c>
      <c r="BA30">
        <f t="shared" si="11"/>
        <v>1</v>
      </c>
      <c r="BB30">
        <f t="shared" si="11"/>
        <v>1</v>
      </c>
      <c r="BC30">
        <f t="shared" si="11"/>
        <v>1</v>
      </c>
      <c r="BD30">
        <f t="shared" si="11"/>
        <v>1</v>
      </c>
      <c r="BE30">
        <f t="shared" si="11"/>
        <v>1</v>
      </c>
      <c r="BF30">
        <f t="shared" si="11"/>
        <v>1</v>
      </c>
      <c r="BG30">
        <f t="shared" si="11"/>
        <v>1</v>
      </c>
      <c r="BH30">
        <f t="shared" si="11"/>
        <v>1</v>
      </c>
      <c r="BI30">
        <f t="shared" si="11"/>
        <v>1</v>
      </c>
      <c r="BJ30">
        <f t="shared" si="11"/>
        <v>1</v>
      </c>
      <c r="BK30">
        <f t="shared" si="11"/>
        <v>1</v>
      </c>
      <c r="BL30">
        <f t="shared" si="11"/>
        <v>1</v>
      </c>
      <c r="BM30">
        <f t="shared" si="11"/>
        <v>1</v>
      </c>
    </row>
    <row r="31" spans="1:65" x14ac:dyDescent="0.25">
      <c r="A31" s="41" t="str">
        <f>ANALYSIS!B37</f>
        <v>19-07</v>
      </c>
      <c r="B31" s="41">
        <f>ANALYSIS!E37</f>
        <v>52</v>
      </c>
      <c r="C31" s="41">
        <f>ANALYSIS!G37</f>
        <v>21.59</v>
      </c>
      <c r="D31" s="41">
        <f t="shared" si="12"/>
        <v>14</v>
      </c>
      <c r="R31" cm="1">
        <f t="array" ref="R31">IF(AX31&gt;0,0,SUMPRODUCT((AX$25:AX$124=0)*($B$25:$B$124&gt;=$B31)*($B$25:$B$124&lt;=$B31+ANALYSIS!$G$5)*($C$25:$C$124&gt;=$C31)*($C$25:$C$124&lt;=$C31+ANALYSIS!$G$6)))</f>
        <v>5</v>
      </c>
      <c r="S31" cm="1">
        <f t="array" ref="S31">IF(AY31&gt;0,0,SUMPRODUCT((AY$25:AY$124=0)*($B$25:$B$124&gt;=$B31)*($B$25:$B$124&lt;=$B31+ANALYSIS!$G$5)*($C$25:$C$124&gt;=$C31)*($C$25:$C$124&lt;=$C31+ANALYSIS!$G$6)))</f>
        <v>5</v>
      </c>
      <c r="T31" cm="1">
        <f t="array" ref="T31">IF(AZ31&gt;0,0,SUMPRODUCT((AZ$25:AZ$124=0)*($B$25:$B$124&gt;=$B31)*($B$25:$B$124&lt;=$B31+ANALYSIS!$G$5)*($C$25:$C$124&gt;=$C31)*($C$25:$C$124&lt;=$C31+ANALYSIS!$G$6)))</f>
        <v>5</v>
      </c>
      <c r="U31" cm="1">
        <f t="array" ref="U31">IF(BA31&gt;0,0,SUMPRODUCT((BA$25:BA$124=0)*($B$25:$B$124&gt;=$B31)*($B$25:$B$124&lt;=$B31+ANALYSIS!$G$5)*($C$25:$C$124&gt;=$C31)*($C$25:$C$124&lt;=$C31+ANALYSIS!$G$6)))</f>
        <v>5</v>
      </c>
      <c r="V31" cm="1">
        <f t="array" ref="V31">IF(BB31&gt;0,0,SUMPRODUCT((BB$25:BB$124=0)*($B$25:$B$124&gt;=$B31)*($B$25:$B$124&lt;=$B31+ANALYSIS!$G$5)*($C$25:$C$124&gt;=$C31)*($C$25:$C$124&lt;=$C31+ANALYSIS!$G$6)))</f>
        <v>3</v>
      </c>
      <c r="W31" cm="1">
        <f t="array" ref="W31">IF(BC31&gt;0,0,SUMPRODUCT((BC$25:BC$124=0)*($B$25:$B$124&gt;=$B31)*($B$25:$B$124&lt;=$B31+ANALYSIS!$G$5)*($C$25:$C$124&gt;=$C31)*($C$25:$C$124&lt;=$C31+ANALYSIS!$G$6)))</f>
        <v>2</v>
      </c>
      <c r="X31" cm="1">
        <f t="array" ref="X31">IF(BD31&gt;0,0,SUMPRODUCT((BD$25:BD$124=0)*($B$25:$B$124&gt;=$B31)*($B$25:$B$124&lt;=$B31+ANALYSIS!$G$5)*($C$25:$C$124&gt;=$C31)*($C$25:$C$124&lt;=$C31+ANALYSIS!$G$6)))</f>
        <v>2</v>
      </c>
      <c r="Y31" cm="1">
        <f t="array" ref="Y31">IF(BE31&gt;0,0,SUMPRODUCT((BE$25:BE$124=0)*($B$25:$B$124&gt;=$B31)*($B$25:$B$124&lt;=$B31+ANALYSIS!$G$5)*($C$25:$C$124&gt;=$C31)*($C$25:$C$124&lt;=$C31+ANALYSIS!$G$6)))</f>
        <v>2</v>
      </c>
      <c r="Z31" cm="1">
        <f t="array" ref="Z31">IF(BF31&gt;0,0,SUMPRODUCT((BF$25:BF$124=0)*($B$25:$B$124&gt;=$B31)*($B$25:$B$124&lt;=$B31+ANALYSIS!$G$5)*($C$25:$C$124&gt;=$C31)*($C$25:$C$124&lt;=$C31+ANALYSIS!$G$6)))</f>
        <v>2</v>
      </c>
      <c r="AA31" cm="1">
        <f t="array" ref="AA31">IF(BG31&gt;0,0,SUMPRODUCT((BG$25:BG$124=0)*($B$25:$B$124&gt;=$B31)*($B$25:$B$124&lt;=$B31+ANALYSIS!$G$5)*($C$25:$C$124&gt;=$C31)*($C$25:$C$124&lt;=$C31+ANALYSIS!$G$6)))</f>
        <v>2</v>
      </c>
      <c r="AB31" cm="1">
        <f t="array" ref="AB31">IF(BH31&gt;0,0,SUMPRODUCT((BH$25:BH$124=0)*($B$25:$B$124&gt;=$B31)*($B$25:$B$124&lt;=$B31+ANALYSIS!$G$5)*($C$25:$C$124&gt;=$C31)*($C$25:$C$124&lt;=$C31+ANALYSIS!$G$6)))</f>
        <v>2</v>
      </c>
      <c r="AC31" cm="1">
        <f t="array" ref="AC31">IF(BI31&gt;0,0,SUMPRODUCT((BI$25:BI$124=0)*($B$25:$B$124&gt;=$B31)*($B$25:$B$124&lt;=$B31+ANALYSIS!$G$5)*($C$25:$C$124&gt;=$C31)*($C$25:$C$124&lt;=$C31+ANALYSIS!$G$6)))</f>
        <v>2</v>
      </c>
      <c r="AD31" cm="1">
        <f t="array" ref="AD31">IF(BJ31&gt;0,0,SUMPRODUCT((BJ$25:BJ$124=0)*($B$25:$B$124&gt;=$B31)*($B$25:$B$124&lt;=$B31+ANALYSIS!$G$5)*($C$25:$C$124&gt;=$C31)*($C$25:$C$124&lt;=$C31+ANALYSIS!$G$6)))</f>
        <v>2</v>
      </c>
      <c r="AE31" cm="1">
        <f t="array" ref="AE31">IF(BK31&gt;0,0,SUMPRODUCT((BK$25:BK$124=0)*($B$25:$B$124&gt;=$B31)*($B$25:$B$124&lt;=$B31+ANALYSIS!$G$5)*($C$25:$C$124&gt;=$C31)*($C$25:$C$124&lt;=$C31+ANALYSIS!$G$6)))</f>
        <v>2</v>
      </c>
      <c r="AF31" cm="1">
        <f t="array" ref="AF31">IF(BL31&gt;0,0,SUMPRODUCT((BL$25:BL$124=0)*($B$25:$B$124&gt;=$B31)*($B$25:$B$124&lt;=$B31+ANALYSIS!$G$5)*($C$25:$C$124&gt;=$C31)*($C$25:$C$124&lt;=$C31+ANALYSIS!$G$6)))</f>
        <v>0</v>
      </c>
      <c r="AH31">
        <f>IF(AND(AX31=0,$B31&gt;=R$22,$B31&lt;=R$22+ANALYSIS!$G$5,$C31&gt;=R$23,$C31&lt;=R$23+ANALYSIS!$G$6),1,0)</f>
        <v>0</v>
      </c>
      <c r="AI31">
        <f>IF(AND(AY31=0,$B31&gt;=S$22,$B31&lt;=S$22+ANALYSIS!$G$5,$C31&gt;=S$23,$C31&lt;=S$23+ANALYSIS!$G$6),1,0)</f>
        <v>0</v>
      </c>
      <c r="AJ31">
        <f>IF(AND(AZ31=0,$B31&gt;=T$22,$B31&lt;=T$22+ANALYSIS!$G$5,$C31&gt;=T$23,$C31&lt;=T$23+ANALYSIS!$G$6),1,0)</f>
        <v>0</v>
      </c>
      <c r="AK31">
        <f>IF(AND(BA31=0,$B31&gt;=U$22,$B31&lt;=U$22+ANALYSIS!$G$5,$C31&gt;=U$23,$C31&lt;=U$23+ANALYSIS!$G$6),1,0)</f>
        <v>0</v>
      </c>
      <c r="AL31">
        <f>IF(AND(BB31=0,$B31&gt;=V$22,$B31&lt;=V$22+ANALYSIS!$G$5,$C31&gt;=V$23,$C31&lt;=V$23+ANALYSIS!$G$6),1,0)</f>
        <v>0</v>
      </c>
      <c r="AM31">
        <f>IF(AND(BC31=0,$B31&gt;=W$22,$B31&lt;=W$22+ANALYSIS!$G$5,$C31&gt;=W$23,$C31&lt;=W$23+ANALYSIS!$G$6),1,0)</f>
        <v>0</v>
      </c>
      <c r="AN31">
        <f>IF(AND(BD31=0,$B31&gt;=X$22,$B31&lt;=X$22+ANALYSIS!$G$5,$C31&gt;=X$23,$C31&lt;=X$23+ANALYSIS!$G$6),1,0)</f>
        <v>0</v>
      </c>
      <c r="AO31">
        <f>IF(AND(BE31=0,$B31&gt;=Y$22,$B31&lt;=Y$22+ANALYSIS!$G$5,$C31&gt;=Y$23,$C31&lt;=Y$23+ANALYSIS!$G$6),1,0)</f>
        <v>0</v>
      </c>
      <c r="AP31">
        <f>IF(AND(BF31=0,$B31&gt;=Z$22,$B31&lt;=Z$22+ANALYSIS!$G$5,$C31&gt;=Z$23,$C31&lt;=Z$23+ANALYSIS!$G$6),1,0)</f>
        <v>0</v>
      </c>
      <c r="AQ31">
        <f>IF(AND(BG31=0,$B31&gt;=AA$22,$B31&lt;=AA$22+ANALYSIS!$G$5,$C31&gt;=AA$23,$C31&lt;=AA$23+ANALYSIS!$G$6),1,0)</f>
        <v>0</v>
      </c>
      <c r="AR31">
        <f>IF(AND(BH31=0,$B31&gt;=AB$22,$B31&lt;=AB$22+ANALYSIS!$G$5,$C31&gt;=AB$23,$C31&lt;=AB$23+ANALYSIS!$G$6),1,0)</f>
        <v>0</v>
      </c>
      <c r="AS31">
        <f>IF(AND(BI31=0,$B31&gt;=AC$22,$B31&lt;=AC$22+ANALYSIS!$G$5,$C31&gt;=AC$23,$C31&lt;=AC$23+ANALYSIS!$G$6),1,0)</f>
        <v>0</v>
      </c>
      <c r="AT31">
        <f>IF(AND(BJ31=0,$B31&gt;=AD$22,$B31&lt;=AD$22+ANALYSIS!$G$5,$C31&gt;=AD$23,$C31&lt;=AD$23+ANALYSIS!$G$6),1,0)</f>
        <v>0</v>
      </c>
      <c r="AU31">
        <f>IF(AND(BK31=0,$B31&gt;=AE$22,$B31&lt;=AE$22+ANALYSIS!$G$5,$C31&gt;=AE$23,$C31&lt;=AE$23+ANALYSIS!$G$6),1,0)</f>
        <v>1</v>
      </c>
      <c r="AV31">
        <f>IF(AND(BL31=0,$B31&gt;=AF$22,$B31&lt;=AF$22+ANALYSIS!$G$5,$C31&gt;=AF$23,$C31&lt;=AF$23+ANALYSIS!$G$6),1,0)</f>
        <v>0</v>
      </c>
      <c r="AX31">
        <v>0</v>
      </c>
      <c r="AY31">
        <f t="shared" si="13"/>
        <v>0</v>
      </c>
      <c r="AZ31">
        <f t="shared" si="11"/>
        <v>0</v>
      </c>
      <c r="BA31">
        <f t="shared" si="11"/>
        <v>0</v>
      </c>
      <c r="BB31">
        <f t="shared" si="11"/>
        <v>0</v>
      </c>
      <c r="BC31">
        <f t="shared" si="11"/>
        <v>0</v>
      </c>
      <c r="BD31">
        <f t="shared" si="11"/>
        <v>0</v>
      </c>
      <c r="BE31">
        <f t="shared" si="11"/>
        <v>0</v>
      </c>
      <c r="BF31">
        <f t="shared" si="11"/>
        <v>0</v>
      </c>
      <c r="BG31">
        <f t="shared" si="11"/>
        <v>0</v>
      </c>
      <c r="BH31">
        <f t="shared" si="11"/>
        <v>0</v>
      </c>
      <c r="BI31">
        <f t="shared" si="11"/>
        <v>0</v>
      </c>
      <c r="BJ31">
        <f t="shared" si="11"/>
        <v>0</v>
      </c>
      <c r="BK31">
        <f t="shared" si="11"/>
        <v>0</v>
      </c>
      <c r="BL31">
        <f t="shared" si="11"/>
        <v>1</v>
      </c>
      <c r="BM31">
        <f t="shared" si="11"/>
        <v>1</v>
      </c>
    </row>
    <row r="32" spans="1:65" x14ac:dyDescent="0.25">
      <c r="A32" s="41" t="str">
        <f>ANALYSIS!B38</f>
        <v>19-08</v>
      </c>
      <c r="B32" s="41">
        <f>ANALYSIS!E38</f>
        <v>53</v>
      </c>
      <c r="C32" s="41">
        <f>ANALYSIS!G38</f>
        <v>21.54</v>
      </c>
      <c r="D32" s="41">
        <f t="shared" si="12"/>
        <v>4</v>
      </c>
      <c r="R32" cm="1">
        <f t="array" ref="R32">IF(AX32&gt;0,0,SUMPRODUCT((AX$25:AX$124=0)*($B$25:$B$124&gt;=$B32)*($B$25:$B$124&lt;=$B32+ANALYSIS!$G$5)*($C$25:$C$124&gt;=$C32)*($C$25:$C$124&lt;=$C32+ANALYSIS!$G$6)))</f>
        <v>6</v>
      </c>
      <c r="S32" cm="1">
        <f t="array" ref="S32">IF(AY32&gt;0,0,SUMPRODUCT((AY$25:AY$124=0)*($B$25:$B$124&gt;=$B32)*($B$25:$B$124&lt;=$B32+ANALYSIS!$G$5)*($C$25:$C$124&gt;=$C32)*($C$25:$C$124&lt;=$C32+ANALYSIS!$G$6)))</f>
        <v>6</v>
      </c>
      <c r="T32" cm="1">
        <f t="array" ref="T32">IF(AZ32&gt;0,0,SUMPRODUCT((AZ$25:AZ$124=0)*($B$25:$B$124&gt;=$B32)*($B$25:$B$124&lt;=$B32+ANALYSIS!$G$5)*($C$25:$C$124&gt;=$C32)*($C$25:$C$124&lt;=$C32+ANALYSIS!$G$6)))</f>
        <v>6</v>
      </c>
      <c r="U32" cm="1">
        <f t="array" ref="U32">IF(BA32&gt;0,0,SUMPRODUCT((BA$25:BA$124=0)*($B$25:$B$124&gt;=$B32)*($B$25:$B$124&lt;=$B32+ANALYSIS!$G$5)*($C$25:$C$124&gt;=$C32)*($C$25:$C$124&lt;=$C32+ANALYSIS!$G$6)))</f>
        <v>6</v>
      </c>
      <c r="V32" cm="1">
        <f t="array" ref="V32">IF(BB32&gt;0,0,SUMPRODUCT((BB$25:BB$124=0)*($B$25:$B$124&gt;=$B32)*($B$25:$B$124&lt;=$B32+ANALYSIS!$G$5)*($C$25:$C$124&gt;=$C32)*($C$25:$C$124&lt;=$C32+ANALYSIS!$G$6)))</f>
        <v>0</v>
      </c>
      <c r="W32" cm="1">
        <f t="array" ref="W32">IF(BC32&gt;0,0,SUMPRODUCT((BC$25:BC$124=0)*($B$25:$B$124&gt;=$B32)*($B$25:$B$124&lt;=$B32+ANALYSIS!$G$5)*($C$25:$C$124&gt;=$C32)*($C$25:$C$124&lt;=$C32+ANALYSIS!$G$6)))</f>
        <v>0</v>
      </c>
      <c r="X32" cm="1">
        <f t="array" ref="X32">IF(BD32&gt;0,0,SUMPRODUCT((BD$25:BD$124=0)*($B$25:$B$124&gt;=$B32)*($B$25:$B$124&lt;=$B32+ANALYSIS!$G$5)*($C$25:$C$124&gt;=$C32)*($C$25:$C$124&lt;=$C32+ANALYSIS!$G$6)))</f>
        <v>0</v>
      </c>
      <c r="Y32" cm="1">
        <f t="array" ref="Y32">IF(BE32&gt;0,0,SUMPRODUCT((BE$25:BE$124=0)*($B$25:$B$124&gt;=$B32)*($B$25:$B$124&lt;=$B32+ANALYSIS!$G$5)*($C$25:$C$124&gt;=$C32)*($C$25:$C$124&lt;=$C32+ANALYSIS!$G$6)))</f>
        <v>0</v>
      </c>
      <c r="Z32" cm="1">
        <f t="array" ref="Z32">IF(BF32&gt;0,0,SUMPRODUCT((BF$25:BF$124=0)*($B$25:$B$124&gt;=$B32)*($B$25:$B$124&lt;=$B32+ANALYSIS!$G$5)*($C$25:$C$124&gt;=$C32)*($C$25:$C$124&lt;=$C32+ANALYSIS!$G$6)))</f>
        <v>0</v>
      </c>
      <c r="AA32" cm="1">
        <f t="array" ref="AA32">IF(BG32&gt;0,0,SUMPRODUCT((BG$25:BG$124=0)*($B$25:$B$124&gt;=$B32)*($B$25:$B$124&lt;=$B32+ANALYSIS!$G$5)*($C$25:$C$124&gt;=$C32)*($C$25:$C$124&lt;=$C32+ANALYSIS!$G$6)))</f>
        <v>0</v>
      </c>
      <c r="AB32" cm="1">
        <f t="array" ref="AB32">IF(BH32&gt;0,0,SUMPRODUCT((BH$25:BH$124=0)*($B$25:$B$124&gt;=$B32)*($B$25:$B$124&lt;=$B32+ANALYSIS!$G$5)*($C$25:$C$124&gt;=$C32)*($C$25:$C$124&lt;=$C32+ANALYSIS!$G$6)))</f>
        <v>0</v>
      </c>
      <c r="AC32" cm="1">
        <f t="array" ref="AC32">IF(BI32&gt;0,0,SUMPRODUCT((BI$25:BI$124=0)*($B$25:$B$124&gt;=$B32)*($B$25:$B$124&lt;=$B32+ANALYSIS!$G$5)*($C$25:$C$124&gt;=$C32)*($C$25:$C$124&lt;=$C32+ANALYSIS!$G$6)))</f>
        <v>0</v>
      </c>
      <c r="AD32" cm="1">
        <f t="array" ref="AD32">IF(BJ32&gt;0,0,SUMPRODUCT((BJ$25:BJ$124=0)*($B$25:$B$124&gt;=$B32)*($B$25:$B$124&lt;=$B32+ANALYSIS!$G$5)*($C$25:$C$124&gt;=$C32)*($C$25:$C$124&lt;=$C32+ANALYSIS!$G$6)))</f>
        <v>0</v>
      </c>
      <c r="AE32" cm="1">
        <f t="array" ref="AE32">IF(BK32&gt;0,0,SUMPRODUCT((BK$25:BK$124=0)*($B$25:$B$124&gt;=$B32)*($B$25:$B$124&lt;=$B32+ANALYSIS!$G$5)*($C$25:$C$124&gt;=$C32)*($C$25:$C$124&lt;=$C32+ANALYSIS!$G$6)))</f>
        <v>0</v>
      </c>
      <c r="AF32" cm="1">
        <f t="array" ref="AF32">IF(BL32&gt;0,0,SUMPRODUCT((BL$25:BL$124=0)*($B$25:$B$124&gt;=$B32)*($B$25:$B$124&lt;=$B32+ANALYSIS!$G$5)*($C$25:$C$124&gt;=$C32)*($C$25:$C$124&lt;=$C32+ANALYSIS!$G$6)))</f>
        <v>0</v>
      </c>
      <c r="AH32">
        <f>IF(AND(AX32=0,$B32&gt;=R$22,$B32&lt;=R$22+ANALYSIS!$G$5,$C32&gt;=R$23,$C32&lt;=R$23+ANALYSIS!$G$6),1,0)</f>
        <v>0</v>
      </c>
      <c r="AI32">
        <f>IF(AND(AY32=0,$B32&gt;=S$22,$B32&lt;=S$22+ANALYSIS!$G$5,$C32&gt;=S$23,$C32&lt;=S$23+ANALYSIS!$G$6),1,0)</f>
        <v>0</v>
      </c>
      <c r="AJ32">
        <f>IF(AND(AZ32=0,$B32&gt;=T$22,$B32&lt;=T$22+ANALYSIS!$G$5,$C32&gt;=T$23,$C32&lt;=T$23+ANALYSIS!$G$6),1,0)</f>
        <v>0</v>
      </c>
      <c r="AK32">
        <f>IF(AND(BA32=0,$B32&gt;=U$22,$B32&lt;=U$22+ANALYSIS!$G$5,$C32&gt;=U$23,$C32&lt;=U$23+ANALYSIS!$G$6),1,0)</f>
        <v>1</v>
      </c>
      <c r="AL32">
        <f>IF(AND(BB32=0,$B32&gt;=V$22,$B32&lt;=V$22+ANALYSIS!$G$5,$C32&gt;=V$23,$C32&lt;=V$23+ANALYSIS!$G$6),1,0)</f>
        <v>0</v>
      </c>
      <c r="AM32">
        <f>IF(AND(BC32=0,$B32&gt;=W$22,$B32&lt;=W$22+ANALYSIS!$G$5,$C32&gt;=W$23,$C32&lt;=W$23+ANALYSIS!$G$6),1,0)</f>
        <v>0</v>
      </c>
      <c r="AN32">
        <f>IF(AND(BD32=0,$B32&gt;=X$22,$B32&lt;=X$22+ANALYSIS!$G$5,$C32&gt;=X$23,$C32&lt;=X$23+ANALYSIS!$G$6),1,0)</f>
        <v>0</v>
      </c>
      <c r="AO32">
        <f>IF(AND(BE32=0,$B32&gt;=Y$22,$B32&lt;=Y$22+ANALYSIS!$G$5,$C32&gt;=Y$23,$C32&lt;=Y$23+ANALYSIS!$G$6),1,0)</f>
        <v>0</v>
      </c>
      <c r="AP32">
        <f>IF(AND(BF32=0,$B32&gt;=Z$22,$B32&lt;=Z$22+ANALYSIS!$G$5,$C32&gt;=Z$23,$C32&lt;=Z$23+ANALYSIS!$G$6),1,0)</f>
        <v>0</v>
      </c>
      <c r="AQ32">
        <f>IF(AND(BG32=0,$B32&gt;=AA$22,$B32&lt;=AA$22+ANALYSIS!$G$5,$C32&gt;=AA$23,$C32&lt;=AA$23+ANALYSIS!$G$6),1,0)</f>
        <v>0</v>
      </c>
      <c r="AR32">
        <f>IF(AND(BH32=0,$B32&gt;=AB$22,$B32&lt;=AB$22+ANALYSIS!$G$5,$C32&gt;=AB$23,$C32&lt;=AB$23+ANALYSIS!$G$6),1,0)</f>
        <v>0</v>
      </c>
      <c r="AS32">
        <f>IF(AND(BI32=0,$B32&gt;=AC$22,$B32&lt;=AC$22+ANALYSIS!$G$5,$C32&gt;=AC$23,$C32&lt;=AC$23+ANALYSIS!$G$6),1,0)</f>
        <v>0</v>
      </c>
      <c r="AT32">
        <f>IF(AND(BJ32=0,$B32&gt;=AD$22,$B32&lt;=AD$22+ANALYSIS!$G$5,$C32&gt;=AD$23,$C32&lt;=AD$23+ANALYSIS!$G$6),1,0)</f>
        <v>0</v>
      </c>
      <c r="AU32">
        <f>IF(AND(BK32=0,$B32&gt;=AE$22,$B32&lt;=AE$22+ANALYSIS!$G$5,$C32&gt;=AE$23,$C32&lt;=AE$23+ANALYSIS!$G$6),1,0)</f>
        <v>0</v>
      </c>
      <c r="AV32">
        <f>IF(AND(BL32=0,$B32&gt;=AF$22,$B32&lt;=AF$22+ANALYSIS!$G$5,$C32&gt;=AF$23,$C32&lt;=AF$23+ANALYSIS!$G$6),1,0)</f>
        <v>0</v>
      </c>
      <c r="AX32">
        <v>0</v>
      </c>
      <c r="AY32">
        <f t="shared" si="13"/>
        <v>0</v>
      </c>
      <c r="AZ32">
        <f t="shared" si="11"/>
        <v>0</v>
      </c>
      <c r="BA32">
        <f t="shared" si="11"/>
        <v>0</v>
      </c>
      <c r="BB32">
        <f t="shared" si="11"/>
        <v>1</v>
      </c>
      <c r="BC32">
        <f t="shared" si="11"/>
        <v>1</v>
      </c>
      <c r="BD32">
        <f t="shared" si="11"/>
        <v>1</v>
      </c>
      <c r="BE32">
        <f t="shared" si="11"/>
        <v>1</v>
      </c>
      <c r="BF32">
        <f t="shared" si="11"/>
        <v>1</v>
      </c>
      <c r="BG32">
        <f t="shared" si="11"/>
        <v>1</v>
      </c>
      <c r="BH32">
        <f t="shared" si="11"/>
        <v>1</v>
      </c>
      <c r="BI32">
        <f t="shared" si="11"/>
        <v>1</v>
      </c>
      <c r="BJ32">
        <f t="shared" si="11"/>
        <v>1</v>
      </c>
      <c r="BK32">
        <f t="shared" si="11"/>
        <v>1</v>
      </c>
      <c r="BL32">
        <f t="shared" si="11"/>
        <v>1</v>
      </c>
      <c r="BM32">
        <f t="shared" si="11"/>
        <v>1</v>
      </c>
    </row>
    <row r="33" spans="1:65" x14ac:dyDescent="0.25">
      <c r="A33" s="41" t="str">
        <f>ANALYSIS!B39</f>
        <v>19-09</v>
      </c>
      <c r="B33" s="41">
        <f>ANALYSIS!E39</f>
        <v>50</v>
      </c>
      <c r="C33" s="41">
        <f>ANALYSIS!G39</f>
        <v>22.67</v>
      </c>
      <c r="D33" s="41">
        <f t="shared" si="12"/>
        <v>8</v>
      </c>
      <c r="R33" cm="1">
        <f t="array" ref="R33">IF(AX33&gt;0,0,SUMPRODUCT((AX$25:AX$124=0)*($B$25:$B$124&gt;=$B33)*($B$25:$B$124&lt;=$B33+ANALYSIS!$G$5)*($C$25:$C$124&gt;=$C33)*($C$25:$C$124&lt;=$C33+ANALYSIS!$G$6)))</f>
        <v>6</v>
      </c>
      <c r="S33" cm="1">
        <f t="array" ref="S33">IF(AY33&gt;0,0,SUMPRODUCT((AY$25:AY$124=0)*($B$25:$B$124&gt;=$B33)*($B$25:$B$124&lt;=$B33+ANALYSIS!$G$5)*($C$25:$C$124&gt;=$C33)*($C$25:$C$124&lt;=$C33+ANALYSIS!$G$6)))</f>
        <v>6</v>
      </c>
      <c r="T33" cm="1">
        <f t="array" ref="T33">IF(AZ33&gt;0,0,SUMPRODUCT((AZ$25:AZ$124=0)*($B$25:$B$124&gt;=$B33)*($B$25:$B$124&lt;=$B33+ANALYSIS!$G$5)*($C$25:$C$124&gt;=$C33)*($C$25:$C$124&lt;=$C33+ANALYSIS!$G$6)))</f>
        <v>4</v>
      </c>
      <c r="U33" cm="1">
        <f t="array" ref="U33">IF(BA33&gt;0,0,SUMPRODUCT((BA$25:BA$124=0)*($B$25:$B$124&gt;=$B33)*($B$25:$B$124&lt;=$B33+ANALYSIS!$G$5)*($C$25:$C$124&gt;=$C33)*($C$25:$C$124&lt;=$C33+ANALYSIS!$G$6)))</f>
        <v>4</v>
      </c>
      <c r="V33" cm="1">
        <f t="array" ref="V33">IF(BB33&gt;0,0,SUMPRODUCT((BB$25:BB$124=0)*($B$25:$B$124&gt;=$B33)*($B$25:$B$124&lt;=$B33+ANALYSIS!$G$5)*($C$25:$C$124&gt;=$C33)*($C$25:$C$124&lt;=$C33+ANALYSIS!$G$6)))</f>
        <v>4</v>
      </c>
      <c r="W33" cm="1">
        <f t="array" ref="W33">IF(BC33&gt;0,0,SUMPRODUCT((BC$25:BC$124=0)*($B$25:$B$124&gt;=$B33)*($B$25:$B$124&lt;=$B33+ANALYSIS!$G$5)*($C$25:$C$124&gt;=$C33)*($C$25:$C$124&lt;=$C33+ANALYSIS!$G$6)))</f>
        <v>4</v>
      </c>
      <c r="X33" cm="1">
        <f t="array" ref="X33">IF(BD33&gt;0,0,SUMPRODUCT((BD$25:BD$124=0)*($B$25:$B$124&gt;=$B33)*($B$25:$B$124&lt;=$B33+ANALYSIS!$G$5)*($C$25:$C$124&gt;=$C33)*($C$25:$C$124&lt;=$C33+ANALYSIS!$G$6)))</f>
        <v>4</v>
      </c>
      <c r="Y33" cm="1">
        <f t="array" ref="Y33">IF(BE33&gt;0,0,SUMPRODUCT((BE$25:BE$124=0)*($B$25:$B$124&gt;=$B33)*($B$25:$B$124&lt;=$B33+ANALYSIS!$G$5)*($C$25:$C$124&gt;=$C33)*($C$25:$C$124&lt;=$C33+ANALYSIS!$G$6)))</f>
        <v>4</v>
      </c>
      <c r="Z33" cm="1">
        <f t="array" ref="Z33">IF(BF33&gt;0,0,SUMPRODUCT((BF$25:BF$124=0)*($B$25:$B$124&gt;=$B33)*($B$25:$B$124&lt;=$B33+ANALYSIS!$G$5)*($C$25:$C$124&gt;=$C33)*($C$25:$C$124&lt;=$C33+ANALYSIS!$G$6)))</f>
        <v>0</v>
      </c>
      <c r="AA33" cm="1">
        <f t="array" ref="AA33">IF(BG33&gt;0,0,SUMPRODUCT((BG$25:BG$124=0)*($B$25:$B$124&gt;=$B33)*($B$25:$B$124&lt;=$B33+ANALYSIS!$G$5)*($C$25:$C$124&gt;=$C33)*($C$25:$C$124&lt;=$C33+ANALYSIS!$G$6)))</f>
        <v>0</v>
      </c>
      <c r="AB33" cm="1">
        <f t="array" ref="AB33">IF(BH33&gt;0,0,SUMPRODUCT((BH$25:BH$124=0)*($B$25:$B$124&gt;=$B33)*($B$25:$B$124&lt;=$B33+ANALYSIS!$G$5)*($C$25:$C$124&gt;=$C33)*($C$25:$C$124&lt;=$C33+ANALYSIS!$G$6)))</f>
        <v>0</v>
      </c>
      <c r="AC33" cm="1">
        <f t="array" ref="AC33">IF(BI33&gt;0,0,SUMPRODUCT((BI$25:BI$124=0)*($B$25:$B$124&gt;=$B33)*($B$25:$B$124&lt;=$B33+ANALYSIS!$G$5)*($C$25:$C$124&gt;=$C33)*($C$25:$C$124&lt;=$C33+ANALYSIS!$G$6)))</f>
        <v>0</v>
      </c>
      <c r="AD33" cm="1">
        <f t="array" ref="AD33">IF(BJ33&gt;0,0,SUMPRODUCT((BJ$25:BJ$124=0)*($B$25:$B$124&gt;=$B33)*($B$25:$B$124&lt;=$B33+ANALYSIS!$G$5)*($C$25:$C$124&gt;=$C33)*($C$25:$C$124&lt;=$C33+ANALYSIS!$G$6)))</f>
        <v>0</v>
      </c>
      <c r="AE33" cm="1">
        <f t="array" ref="AE33">IF(BK33&gt;0,0,SUMPRODUCT((BK$25:BK$124=0)*($B$25:$B$124&gt;=$B33)*($B$25:$B$124&lt;=$B33+ANALYSIS!$G$5)*($C$25:$C$124&gt;=$C33)*($C$25:$C$124&lt;=$C33+ANALYSIS!$G$6)))</f>
        <v>0</v>
      </c>
      <c r="AF33" cm="1">
        <f t="array" ref="AF33">IF(BL33&gt;0,0,SUMPRODUCT((BL$25:BL$124=0)*($B$25:$B$124&gt;=$B33)*($B$25:$B$124&lt;=$B33+ANALYSIS!$G$5)*($C$25:$C$124&gt;=$C33)*($C$25:$C$124&lt;=$C33+ANALYSIS!$G$6)))</f>
        <v>0</v>
      </c>
      <c r="AH33">
        <f>IF(AND(AX33=0,$B33&gt;=R$22,$B33&lt;=R$22+ANALYSIS!$G$5,$C33&gt;=R$23,$C33&lt;=R$23+ANALYSIS!$G$6),1,0)</f>
        <v>0</v>
      </c>
      <c r="AI33">
        <f>IF(AND(AY33=0,$B33&gt;=S$22,$B33&lt;=S$22+ANALYSIS!$G$5,$C33&gt;=S$23,$C33&lt;=S$23+ANALYSIS!$G$6),1,0)</f>
        <v>0</v>
      </c>
      <c r="AJ33">
        <f>IF(AND(AZ33=0,$B33&gt;=T$22,$B33&lt;=T$22+ANALYSIS!$G$5,$C33&gt;=T$23,$C33&lt;=T$23+ANALYSIS!$G$6),1,0)</f>
        <v>0</v>
      </c>
      <c r="AK33">
        <f>IF(AND(BA33=0,$B33&gt;=U$22,$B33&lt;=U$22+ANALYSIS!$G$5,$C33&gt;=U$23,$C33&lt;=U$23+ANALYSIS!$G$6),1,0)</f>
        <v>0</v>
      </c>
      <c r="AL33">
        <f>IF(AND(BB33=0,$B33&gt;=V$22,$B33&lt;=V$22+ANALYSIS!$G$5,$C33&gt;=V$23,$C33&lt;=V$23+ANALYSIS!$G$6),1,0)</f>
        <v>0</v>
      </c>
      <c r="AM33">
        <f>IF(AND(BC33=0,$B33&gt;=W$22,$B33&lt;=W$22+ANALYSIS!$G$5,$C33&gt;=W$23,$C33&lt;=W$23+ANALYSIS!$G$6),1,0)</f>
        <v>0</v>
      </c>
      <c r="AN33">
        <f>IF(AND(BD33=0,$B33&gt;=X$22,$B33&lt;=X$22+ANALYSIS!$G$5,$C33&gt;=X$23,$C33&lt;=X$23+ANALYSIS!$G$6),1,0)</f>
        <v>0</v>
      </c>
      <c r="AO33">
        <f>IF(AND(BE33=0,$B33&gt;=Y$22,$B33&lt;=Y$22+ANALYSIS!$G$5,$C33&gt;=Y$23,$C33&lt;=Y$23+ANALYSIS!$G$6),1,0)</f>
        <v>1</v>
      </c>
      <c r="AP33">
        <f>IF(AND(BF33=0,$B33&gt;=Z$22,$B33&lt;=Z$22+ANALYSIS!$G$5,$C33&gt;=Z$23,$C33&lt;=Z$23+ANALYSIS!$G$6),1,0)</f>
        <v>0</v>
      </c>
      <c r="AQ33">
        <f>IF(AND(BG33=0,$B33&gt;=AA$22,$B33&lt;=AA$22+ANALYSIS!$G$5,$C33&gt;=AA$23,$C33&lt;=AA$23+ANALYSIS!$G$6),1,0)</f>
        <v>0</v>
      </c>
      <c r="AR33">
        <f>IF(AND(BH33=0,$B33&gt;=AB$22,$B33&lt;=AB$22+ANALYSIS!$G$5,$C33&gt;=AB$23,$C33&lt;=AB$23+ANALYSIS!$G$6),1,0)</f>
        <v>0</v>
      </c>
      <c r="AS33">
        <f>IF(AND(BI33=0,$B33&gt;=AC$22,$B33&lt;=AC$22+ANALYSIS!$G$5,$C33&gt;=AC$23,$C33&lt;=AC$23+ANALYSIS!$G$6),1,0)</f>
        <v>0</v>
      </c>
      <c r="AT33">
        <f>IF(AND(BJ33=0,$B33&gt;=AD$22,$B33&lt;=AD$22+ANALYSIS!$G$5,$C33&gt;=AD$23,$C33&lt;=AD$23+ANALYSIS!$G$6),1,0)</f>
        <v>0</v>
      </c>
      <c r="AU33">
        <f>IF(AND(BK33=0,$B33&gt;=AE$22,$B33&lt;=AE$22+ANALYSIS!$G$5,$C33&gt;=AE$23,$C33&lt;=AE$23+ANALYSIS!$G$6),1,0)</f>
        <v>0</v>
      </c>
      <c r="AV33">
        <f>IF(AND(BL33=0,$B33&gt;=AF$22,$B33&lt;=AF$22+ANALYSIS!$G$5,$C33&gt;=AF$23,$C33&lt;=AF$23+ANALYSIS!$G$6),1,0)</f>
        <v>0</v>
      </c>
      <c r="AX33">
        <v>0</v>
      </c>
      <c r="AY33">
        <f t="shared" si="13"/>
        <v>0</v>
      </c>
      <c r="AZ33">
        <f t="shared" si="11"/>
        <v>0</v>
      </c>
      <c r="BA33">
        <f t="shared" si="11"/>
        <v>0</v>
      </c>
      <c r="BB33">
        <f t="shared" si="11"/>
        <v>0</v>
      </c>
      <c r="BC33">
        <f t="shared" si="11"/>
        <v>0</v>
      </c>
      <c r="BD33">
        <f t="shared" si="11"/>
        <v>0</v>
      </c>
      <c r="BE33">
        <f t="shared" si="11"/>
        <v>0</v>
      </c>
      <c r="BF33">
        <f t="shared" si="11"/>
        <v>1</v>
      </c>
      <c r="BG33">
        <f t="shared" si="11"/>
        <v>1</v>
      </c>
      <c r="BH33">
        <f t="shared" si="11"/>
        <v>1</v>
      </c>
      <c r="BI33">
        <f t="shared" si="11"/>
        <v>1</v>
      </c>
      <c r="BJ33">
        <f t="shared" si="11"/>
        <v>1</v>
      </c>
      <c r="BK33">
        <f t="shared" si="11"/>
        <v>1</v>
      </c>
      <c r="BL33">
        <f t="shared" si="11"/>
        <v>1</v>
      </c>
      <c r="BM33">
        <f t="shared" si="11"/>
        <v>1</v>
      </c>
    </row>
    <row r="34" spans="1:65" x14ac:dyDescent="0.25">
      <c r="A34" s="41" t="str">
        <f>ANALYSIS!B40</f>
        <v>19-10</v>
      </c>
      <c r="B34" s="41">
        <f>ANALYSIS!E40</f>
        <v>56</v>
      </c>
      <c r="C34" s="41">
        <f>ANALYSIS!G40</f>
        <v>24.67</v>
      </c>
      <c r="D34" s="41">
        <f t="shared" si="12"/>
        <v>10</v>
      </c>
      <c r="R34" cm="1">
        <f t="array" ref="R34">IF(AX34&gt;0,0,SUMPRODUCT((AX$25:AX$124=0)*($B$25:$B$124&gt;=$B34)*($B$25:$B$124&lt;=$B34+ANALYSIS!$G$5)*($C$25:$C$124&gt;=$C34)*($C$25:$C$124&lt;=$C34+ANALYSIS!$G$6)))</f>
        <v>5</v>
      </c>
      <c r="S34" cm="1">
        <f t="array" ref="S34">IF(AY34&gt;0,0,SUMPRODUCT((AY$25:AY$124=0)*($B$25:$B$124&gt;=$B34)*($B$25:$B$124&lt;=$B34+ANALYSIS!$G$5)*($C$25:$C$124&gt;=$C34)*($C$25:$C$124&lt;=$C34+ANALYSIS!$G$6)))</f>
        <v>5</v>
      </c>
      <c r="T34" cm="1">
        <f t="array" ref="T34">IF(AZ34&gt;0,0,SUMPRODUCT((AZ$25:AZ$124=0)*($B$25:$B$124&gt;=$B34)*($B$25:$B$124&lt;=$B34+ANALYSIS!$G$5)*($C$25:$C$124&gt;=$C34)*($C$25:$C$124&lt;=$C34+ANALYSIS!$G$6)))</f>
        <v>5</v>
      </c>
      <c r="U34" cm="1">
        <f t="array" ref="U34">IF(BA34&gt;0,0,SUMPRODUCT((BA$25:BA$124=0)*($B$25:$B$124&gt;=$B34)*($B$25:$B$124&lt;=$B34+ANALYSIS!$G$5)*($C$25:$C$124&gt;=$C34)*($C$25:$C$124&lt;=$C34+ANALYSIS!$G$6)))</f>
        <v>3</v>
      </c>
      <c r="V34" cm="1">
        <f t="array" ref="V34">IF(BB34&gt;0,0,SUMPRODUCT((BB$25:BB$124=0)*($B$25:$B$124&gt;=$B34)*($B$25:$B$124&lt;=$B34+ANALYSIS!$G$5)*($C$25:$C$124&gt;=$C34)*($C$25:$C$124&lt;=$C34+ANALYSIS!$G$6)))</f>
        <v>3</v>
      </c>
      <c r="W34" cm="1">
        <f t="array" ref="W34">IF(BC34&gt;0,0,SUMPRODUCT((BC$25:BC$124=0)*($B$25:$B$124&gt;=$B34)*($B$25:$B$124&lt;=$B34+ANALYSIS!$G$5)*($C$25:$C$124&gt;=$C34)*($C$25:$C$124&lt;=$C34+ANALYSIS!$G$6)))</f>
        <v>3</v>
      </c>
      <c r="X34" cm="1">
        <f t="array" ref="X34">IF(BD34&gt;0,0,SUMPRODUCT((BD$25:BD$124=0)*($B$25:$B$124&gt;=$B34)*($B$25:$B$124&lt;=$B34+ANALYSIS!$G$5)*($C$25:$C$124&gt;=$C34)*($C$25:$C$124&lt;=$C34+ANALYSIS!$G$6)))</f>
        <v>3</v>
      </c>
      <c r="Y34" cm="1">
        <f t="array" ref="Y34">IF(BE34&gt;0,0,SUMPRODUCT((BE$25:BE$124=0)*($B$25:$B$124&gt;=$B34)*($B$25:$B$124&lt;=$B34+ANALYSIS!$G$5)*($C$25:$C$124&gt;=$C34)*($C$25:$C$124&lt;=$C34+ANALYSIS!$G$6)))</f>
        <v>3</v>
      </c>
      <c r="Z34" cm="1">
        <f t="array" ref="Z34">IF(BF34&gt;0,0,SUMPRODUCT((BF$25:BF$124=0)*($B$25:$B$124&gt;=$B34)*($B$25:$B$124&lt;=$B34+ANALYSIS!$G$5)*($C$25:$C$124&gt;=$C34)*($C$25:$C$124&lt;=$C34+ANALYSIS!$G$6)))</f>
        <v>3</v>
      </c>
      <c r="AA34" cm="1">
        <f t="array" ref="AA34">IF(BG34&gt;0,0,SUMPRODUCT((BG$25:BG$124=0)*($B$25:$B$124&gt;=$B34)*($B$25:$B$124&lt;=$B34+ANALYSIS!$G$5)*($C$25:$C$124&gt;=$C34)*($C$25:$C$124&lt;=$C34+ANALYSIS!$G$6)))</f>
        <v>3</v>
      </c>
      <c r="AB34" cm="1">
        <f t="array" ref="AB34">IF(BH34&gt;0,0,SUMPRODUCT((BH$25:BH$124=0)*($B$25:$B$124&gt;=$B34)*($B$25:$B$124&lt;=$B34+ANALYSIS!$G$5)*($C$25:$C$124&gt;=$C34)*($C$25:$C$124&lt;=$C34+ANALYSIS!$G$6)))</f>
        <v>0</v>
      </c>
      <c r="AC34" cm="1">
        <f t="array" ref="AC34">IF(BI34&gt;0,0,SUMPRODUCT((BI$25:BI$124=0)*($B$25:$B$124&gt;=$B34)*($B$25:$B$124&lt;=$B34+ANALYSIS!$G$5)*($C$25:$C$124&gt;=$C34)*($C$25:$C$124&lt;=$C34+ANALYSIS!$G$6)))</f>
        <v>0</v>
      </c>
      <c r="AD34" cm="1">
        <f t="array" ref="AD34">IF(BJ34&gt;0,0,SUMPRODUCT((BJ$25:BJ$124=0)*($B$25:$B$124&gt;=$B34)*($B$25:$B$124&lt;=$B34+ANALYSIS!$G$5)*($C$25:$C$124&gt;=$C34)*($C$25:$C$124&lt;=$C34+ANALYSIS!$G$6)))</f>
        <v>0</v>
      </c>
      <c r="AE34" cm="1">
        <f t="array" ref="AE34">IF(BK34&gt;0,0,SUMPRODUCT((BK$25:BK$124=0)*($B$25:$B$124&gt;=$B34)*($B$25:$B$124&lt;=$B34+ANALYSIS!$G$5)*($C$25:$C$124&gt;=$C34)*($C$25:$C$124&lt;=$C34+ANALYSIS!$G$6)))</f>
        <v>0</v>
      </c>
      <c r="AF34" cm="1">
        <f t="array" ref="AF34">IF(BL34&gt;0,0,SUMPRODUCT((BL$25:BL$124=0)*($B$25:$B$124&gt;=$B34)*($B$25:$B$124&lt;=$B34+ANALYSIS!$G$5)*($C$25:$C$124&gt;=$C34)*($C$25:$C$124&lt;=$C34+ANALYSIS!$G$6)))</f>
        <v>0</v>
      </c>
      <c r="AH34">
        <f>IF(AND(AX34=0,$B34&gt;=R$22,$B34&lt;=R$22+ANALYSIS!$G$5,$C34&gt;=R$23,$C34&lt;=R$23+ANALYSIS!$G$6),1,0)</f>
        <v>0</v>
      </c>
      <c r="AI34">
        <f>IF(AND(AY34=0,$B34&gt;=S$22,$B34&lt;=S$22+ANALYSIS!$G$5,$C34&gt;=S$23,$C34&lt;=S$23+ANALYSIS!$G$6),1,0)</f>
        <v>0</v>
      </c>
      <c r="AJ34">
        <f>IF(AND(AZ34=0,$B34&gt;=T$22,$B34&lt;=T$22+ANALYSIS!$G$5,$C34&gt;=T$23,$C34&lt;=T$23+ANALYSIS!$G$6),1,0)</f>
        <v>0</v>
      </c>
      <c r="AK34">
        <f>IF(AND(BA34=0,$B34&gt;=U$22,$B34&lt;=U$22+ANALYSIS!$G$5,$C34&gt;=U$23,$C34&lt;=U$23+ANALYSIS!$G$6),1,0)</f>
        <v>0</v>
      </c>
      <c r="AL34">
        <f>IF(AND(BB34=0,$B34&gt;=V$22,$B34&lt;=V$22+ANALYSIS!$G$5,$C34&gt;=V$23,$C34&lt;=V$23+ANALYSIS!$G$6),1,0)</f>
        <v>0</v>
      </c>
      <c r="AM34">
        <f>IF(AND(BC34=0,$B34&gt;=W$22,$B34&lt;=W$22+ANALYSIS!$G$5,$C34&gt;=W$23,$C34&lt;=W$23+ANALYSIS!$G$6),1,0)</f>
        <v>0</v>
      </c>
      <c r="AN34">
        <f>IF(AND(BD34=0,$B34&gt;=X$22,$B34&lt;=X$22+ANALYSIS!$G$5,$C34&gt;=X$23,$C34&lt;=X$23+ANALYSIS!$G$6),1,0)</f>
        <v>0</v>
      </c>
      <c r="AO34">
        <f>IF(AND(BE34=0,$B34&gt;=Y$22,$B34&lt;=Y$22+ANALYSIS!$G$5,$C34&gt;=Y$23,$C34&lt;=Y$23+ANALYSIS!$G$6),1,0)</f>
        <v>0</v>
      </c>
      <c r="AP34">
        <f>IF(AND(BF34=0,$B34&gt;=Z$22,$B34&lt;=Z$22+ANALYSIS!$G$5,$C34&gt;=Z$23,$C34&lt;=Z$23+ANALYSIS!$G$6),1,0)</f>
        <v>0</v>
      </c>
      <c r="AQ34">
        <f>IF(AND(BG34=0,$B34&gt;=AA$22,$B34&lt;=AA$22+ANALYSIS!$G$5,$C34&gt;=AA$23,$C34&lt;=AA$23+ANALYSIS!$G$6),1,0)</f>
        <v>1</v>
      </c>
      <c r="AR34">
        <f>IF(AND(BH34=0,$B34&gt;=AB$22,$B34&lt;=AB$22+ANALYSIS!$G$5,$C34&gt;=AB$23,$C34&lt;=AB$23+ANALYSIS!$G$6),1,0)</f>
        <v>0</v>
      </c>
      <c r="AS34">
        <f>IF(AND(BI34=0,$B34&gt;=AC$22,$B34&lt;=AC$22+ANALYSIS!$G$5,$C34&gt;=AC$23,$C34&lt;=AC$23+ANALYSIS!$G$6),1,0)</f>
        <v>0</v>
      </c>
      <c r="AT34">
        <f>IF(AND(BJ34=0,$B34&gt;=AD$22,$B34&lt;=AD$22+ANALYSIS!$G$5,$C34&gt;=AD$23,$C34&lt;=AD$23+ANALYSIS!$G$6),1,0)</f>
        <v>0</v>
      </c>
      <c r="AU34">
        <f>IF(AND(BK34=0,$B34&gt;=AE$22,$B34&lt;=AE$22+ANALYSIS!$G$5,$C34&gt;=AE$23,$C34&lt;=AE$23+ANALYSIS!$G$6),1,0)</f>
        <v>0</v>
      </c>
      <c r="AV34">
        <f>IF(AND(BL34=0,$B34&gt;=AF$22,$B34&lt;=AF$22+ANALYSIS!$G$5,$C34&gt;=AF$23,$C34&lt;=AF$23+ANALYSIS!$G$6),1,0)</f>
        <v>0</v>
      </c>
      <c r="AX34">
        <v>0</v>
      </c>
      <c r="AY34">
        <f t="shared" si="13"/>
        <v>0</v>
      </c>
      <c r="AZ34">
        <f t="shared" si="11"/>
        <v>0</v>
      </c>
      <c r="BA34">
        <f t="shared" si="11"/>
        <v>0</v>
      </c>
      <c r="BB34">
        <f t="shared" si="11"/>
        <v>0</v>
      </c>
      <c r="BC34">
        <f t="shared" si="11"/>
        <v>0</v>
      </c>
      <c r="BD34">
        <f t="shared" si="11"/>
        <v>0</v>
      </c>
      <c r="BE34">
        <f t="shared" si="11"/>
        <v>0</v>
      </c>
      <c r="BF34">
        <f t="shared" si="11"/>
        <v>0</v>
      </c>
      <c r="BG34">
        <f t="shared" si="11"/>
        <v>0</v>
      </c>
      <c r="BH34">
        <f t="shared" si="11"/>
        <v>1</v>
      </c>
      <c r="BI34">
        <f t="shared" si="11"/>
        <v>1</v>
      </c>
      <c r="BJ34">
        <f t="shared" si="11"/>
        <v>1</v>
      </c>
      <c r="BK34">
        <f t="shared" si="11"/>
        <v>1</v>
      </c>
      <c r="BL34">
        <f t="shared" si="11"/>
        <v>1</v>
      </c>
      <c r="BM34">
        <f t="shared" si="11"/>
        <v>1</v>
      </c>
    </row>
    <row r="35" spans="1:65" x14ac:dyDescent="0.25">
      <c r="A35" s="41" t="str">
        <f>ANALYSIS!B41</f>
        <v>19-11</v>
      </c>
      <c r="B35" s="41">
        <f>ANALYSIS!E41</f>
        <v>52</v>
      </c>
      <c r="C35" s="41">
        <f>ANALYSIS!G41</f>
        <v>23.14</v>
      </c>
      <c r="D35" s="41">
        <f t="shared" si="12"/>
        <v>8</v>
      </c>
      <c r="R35" cm="1">
        <f t="array" ref="R35">IF(AX35&gt;0,0,SUMPRODUCT((AX$25:AX$124=0)*($B$25:$B$124&gt;=$B35)*($B$25:$B$124&lt;=$B35+ANALYSIS!$G$5)*($C$25:$C$124&gt;=$C35)*($C$25:$C$124&lt;=$C35+ANALYSIS!$G$6)))</f>
        <v>5</v>
      </c>
      <c r="S35" cm="1">
        <f t="array" ref="S35">IF(AY35&gt;0,0,SUMPRODUCT((AY$25:AY$124=0)*($B$25:$B$124&gt;=$B35)*($B$25:$B$124&lt;=$B35+ANALYSIS!$G$5)*($C$25:$C$124&gt;=$C35)*($C$25:$C$124&lt;=$C35+ANALYSIS!$G$6)))</f>
        <v>5</v>
      </c>
      <c r="T35" cm="1">
        <f t="array" ref="T35">IF(AZ35&gt;0,0,SUMPRODUCT((AZ$25:AZ$124=0)*($B$25:$B$124&gt;=$B35)*($B$25:$B$124&lt;=$B35+ANALYSIS!$G$5)*($C$25:$C$124&gt;=$C35)*($C$25:$C$124&lt;=$C35+ANALYSIS!$G$6)))</f>
        <v>2</v>
      </c>
      <c r="U35" cm="1">
        <f t="array" ref="U35">IF(BA35&gt;0,0,SUMPRODUCT((BA$25:BA$124=0)*($B$25:$B$124&gt;=$B35)*($B$25:$B$124&lt;=$B35+ANALYSIS!$G$5)*($C$25:$C$124&gt;=$C35)*($C$25:$C$124&lt;=$C35+ANALYSIS!$G$6)))</f>
        <v>2</v>
      </c>
      <c r="V35" cm="1">
        <f t="array" ref="V35">IF(BB35&gt;0,0,SUMPRODUCT((BB$25:BB$124=0)*($B$25:$B$124&gt;=$B35)*($B$25:$B$124&lt;=$B35+ANALYSIS!$G$5)*($C$25:$C$124&gt;=$C35)*($C$25:$C$124&lt;=$C35+ANALYSIS!$G$6)))</f>
        <v>2</v>
      </c>
      <c r="W35" cm="1">
        <f t="array" ref="W35">IF(BC35&gt;0,0,SUMPRODUCT((BC$25:BC$124=0)*($B$25:$B$124&gt;=$B35)*($B$25:$B$124&lt;=$B35+ANALYSIS!$G$5)*($C$25:$C$124&gt;=$C35)*($C$25:$C$124&lt;=$C35+ANALYSIS!$G$6)))</f>
        <v>2</v>
      </c>
      <c r="X35" cm="1">
        <f t="array" ref="X35">IF(BD35&gt;0,0,SUMPRODUCT((BD$25:BD$124=0)*($B$25:$B$124&gt;=$B35)*($B$25:$B$124&lt;=$B35+ANALYSIS!$G$5)*($C$25:$C$124&gt;=$C35)*($C$25:$C$124&lt;=$C35+ANALYSIS!$G$6)))</f>
        <v>1</v>
      </c>
      <c r="Y35" cm="1">
        <f t="array" ref="Y35">IF(BE35&gt;0,0,SUMPRODUCT((BE$25:BE$124=0)*($B$25:$B$124&gt;=$B35)*($B$25:$B$124&lt;=$B35+ANALYSIS!$G$5)*($C$25:$C$124&gt;=$C35)*($C$25:$C$124&lt;=$C35+ANALYSIS!$G$6)))</f>
        <v>1</v>
      </c>
      <c r="Z35" cm="1">
        <f t="array" ref="Z35">IF(BF35&gt;0,0,SUMPRODUCT((BF$25:BF$124=0)*($B$25:$B$124&gt;=$B35)*($B$25:$B$124&lt;=$B35+ANALYSIS!$G$5)*($C$25:$C$124&gt;=$C35)*($C$25:$C$124&lt;=$C35+ANALYSIS!$G$6)))</f>
        <v>0</v>
      </c>
      <c r="AA35" cm="1">
        <f t="array" ref="AA35">IF(BG35&gt;0,0,SUMPRODUCT((BG$25:BG$124=0)*($B$25:$B$124&gt;=$B35)*($B$25:$B$124&lt;=$B35+ANALYSIS!$G$5)*($C$25:$C$124&gt;=$C35)*($C$25:$C$124&lt;=$C35+ANALYSIS!$G$6)))</f>
        <v>0</v>
      </c>
      <c r="AB35" cm="1">
        <f t="array" ref="AB35">IF(BH35&gt;0,0,SUMPRODUCT((BH$25:BH$124=0)*($B$25:$B$124&gt;=$B35)*($B$25:$B$124&lt;=$B35+ANALYSIS!$G$5)*($C$25:$C$124&gt;=$C35)*($C$25:$C$124&lt;=$C35+ANALYSIS!$G$6)))</f>
        <v>0</v>
      </c>
      <c r="AC35" cm="1">
        <f t="array" ref="AC35">IF(BI35&gt;0,0,SUMPRODUCT((BI$25:BI$124=0)*($B$25:$B$124&gt;=$B35)*($B$25:$B$124&lt;=$B35+ANALYSIS!$G$5)*($C$25:$C$124&gt;=$C35)*($C$25:$C$124&lt;=$C35+ANALYSIS!$G$6)))</f>
        <v>0</v>
      </c>
      <c r="AD35" cm="1">
        <f t="array" ref="AD35">IF(BJ35&gt;0,0,SUMPRODUCT((BJ$25:BJ$124=0)*($B$25:$B$124&gt;=$B35)*($B$25:$B$124&lt;=$B35+ANALYSIS!$G$5)*($C$25:$C$124&gt;=$C35)*($C$25:$C$124&lt;=$C35+ANALYSIS!$G$6)))</f>
        <v>0</v>
      </c>
      <c r="AE35" cm="1">
        <f t="array" ref="AE35">IF(BK35&gt;0,0,SUMPRODUCT((BK$25:BK$124=0)*($B$25:$B$124&gt;=$B35)*($B$25:$B$124&lt;=$B35+ANALYSIS!$G$5)*($C$25:$C$124&gt;=$C35)*($C$25:$C$124&lt;=$C35+ANALYSIS!$G$6)))</f>
        <v>0</v>
      </c>
      <c r="AF35" cm="1">
        <f t="array" ref="AF35">IF(BL35&gt;0,0,SUMPRODUCT((BL$25:BL$124=0)*($B$25:$B$124&gt;=$B35)*($B$25:$B$124&lt;=$B35+ANALYSIS!$G$5)*($C$25:$C$124&gt;=$C35)*($C$25:$C$124&lt;=$C35+ANALYSIS!$G$6)))</f>
        <v>0</v>
      </c>
      <c r="AH35">
        <f>IF(AND(AX35=0,$B35&gt;=R$22,$B35&lt;=R$22+ANALYSIS!$G$5,$C35&gt;=R$23,$C35&lt;=R$23+ANALYSIS!$G$6),1,0)</f>
        <v>0</v>
      </c>
      <c r="AI35">
        <f>IF(AND(AY35=0,$B35&gt;=S$22,$B35&lt;=S$22+ANALYSIS!$G$5,$C35&gt;=S$23,$C35&lt;=S$23+ANALYSIS!$G$6),1,0)</f>
        <v>0</v>
      </c>
      <c r="AJ35">
        <f>IF(AND(AZ35=0,$B35&gt;=T$22,$B35&lt;=T$22+ANALYSIS!$G$5,$C35&gt;=T$23,$C35&lt;=T$23+ANALYSIS!$G$6),1,0)</f>
        <v>0</v>
      </c>
      <c r="AK35">
        <f>IF(AND(BA35=0,$B35&gt;=U$22,$B35&lt;=U$22+ANALYSIS!$G$5,$C35&gt;=U$23,$C35&lt;=U$23+ANALYSIS!$G$6),1,0)</f>
        <v>0</v>
      </c>
      <c r="AL35">
        <f>IF(AND(BB35=0,$B35&gt;=V$22,$B35&lt;=V$22+ANALYSIS!$G$5,$C35&gt;=V$23,$C35&lt;=V$23+ANALYSIS!$G$6),1,0)</f>
        <v>0</v>
      </c>
      <c r="AM35">
        <f>IF(AND(BC35=0,$B35&gt;=W$22,$B35&lt;=W$22+ANALYSIS!$G$5,$C35&gt;=W$23,$C35&lt;=W$23+ANALYSIS!$G$6),1,0)</f>
        <v>0</v>
      </c>
      <c r="AN35">
        <f>IF(AND(BD35=0,$B35&gt;=X$22,$B35&lt;=X$22+ANALYSIS!$G$5,$C35&gt;=X$23,$C35&lt;=X$23+ANALYSIS!$G$6),1,0)</f>
        <v>0</v>
      </c>
      <c r="AO35">
        <f>IF(AND(BE35=0,$B35&gt;=Y$22,$B35&lt;=Y$22+ANALYSIS!$G$5,$C35&gt;=Y$23,$C35&lt;=Y$23+ANALYSIS!$G$6),1,0)</f>
        <v>1</v>
      </c>
      <c r="AP35">
        <f>IF(AND(BF35=0,$B35&gt;=Z$22,$B35&lt;=Z$22+ANALYSIS!$G$5,$C35&gt;=Z$23,$C35&lt;=Z$23+ANALYSIS!$G$6),1,0)</f>
        <v>0</v>
      </c>
      <c r="AQ35">
        <f>IF(AND(BG35=0,$B35&gt;=AA$22,$B35&lt;=AA$22+ANALYSIS!$G$5,$C35&gt;=AA$23,$C35&lt;=AA$23+ANALYSIS!$G$6),1,0)</f>
        <v>0</v>
      </c>
      <c r="AR35">
        <f>IF(AND(BH35=0,$B35&gt;=AB$22,$B35&lt;=AB$22+ANALYSIS!$G$5,$C35&gt;=AB$23,$C35&lt;=AB$23+ANALYSIS!$G$6),1,0)</f>
        <v>0</v>
      </c>
      <c r="AS35">
        <f>IF(AND(BI35=0,$B35&gt;=AC$22,$B35&lt;=AC$22+ANALYSIS!$G$5,$C35&gt;=AC$23,$C35&lt;=AC$23+ANALYSIS!$G$6),1,0)</f>
        <v>0</v>
      </c>
      <c r="AT35">
        <f>IF(AND(BJ35=0,$B35&gt;=AD$22,$B35&lt;=AD$22+ANALYSIS!$G$5,$C35&gt;=AD$23,$C35&lt;=AD$23+ANALYSIS!$G$6),1,0)</f>
        <v>0</v>
      </c>
      <c r="AU35">
        <f>IF(AND(BK35=0,$B35&gt;=AE$22,$B35&lt;=AE$22+ANALYSIS!$G$5,$C35&gt;=AE$23,$C35&lt;=AE$23+ANALYSIS!$G$6),1,0)</f>
        <v>0</v>
      </c>
      <c r="AV35">
        <f>IF(AND(BL35=0,$B35&gt;=AF$22,$B35&lt;=AF$22+ANALYSIS!$G$5,$C35&gt;=AF$23,$C35&lt;=AF$23+ANALYSIS!$G$6),1,0)</f>
        <v>0</v>
      </c>
      <c r="AX35">
        <v>0</v>
      </c>
      <c r="AY35">
        <f t="shared" si="13"/>
        <v>0</v>
      </c>
      <c r="AZ35">
        <f t="shared" si="11"/>
        <v>0</v>
      </c>
      <c r="BA35">
        <f t="shared" si="11"/>
        <v>0</v>
      </c>
      <c r="BB35">
        <f t="shared" si="11"/>
        <v>0</v>
      </c>
      <c r="BC35">
        <f t="shared" si="11"/>
        <v>0</v>
      </c>
      <c r="BD35">
        <f t="shared" si="11"/>
        <v>0</v>
      </c>
      <c r="BE35">
        <f t="shared" si="11"/>
        <v>0</v>
      </c>
      <c r="BF35">
        <f t="shared" si="11"/>
        <v>1</v>
      </c>
      <c r="BG35">
        <f t="shared" si="11"/>
        <v>1</v>
      </c>
      <c r="BH35">
        <f t="shared" si="11"/>
        <v>1</v>
      </c>
      <c r="BI35">
        <f t="shared" si="11"/>
        <v>1</v>
      </c>
      <c r="BJ35">
        <f t="shared" si="11"/>
        <v>1</v>
      </c>
      <c r="BK35">
        <f t="shared" si="11"/>
        <v>1</v>
      </c>
      <c r="BL35">
        <f t="shared" si="11"/>
        <v>1</v>
      </c>
      <c r="BM35">
        <f t="shared" si="11"/>
        <v>1</v>
      </c>
    </row>
    <row r="36" spans="1:65" x14ac:dyDescent="0.25">
      <c r="A36" s="41" t="str">
        <f>ANALYSIS!B42</f>
        <v>19-12</v>
      </c>
      <c r="B36" s="41">
        <f>ANALYSIS!E42</f>
        <v>57.5</v>
      </c>
      <c r="C36" s="41">
        <f>ANALYSIS!G42</f>
        <v>24.3</v>
      </c>
      <c r="D36" s="41">
        <f t="shared" si="12"/>
        <v>1</v>
      </c>
      <c r="R36" cm="1">
        <f t="array" ref="R36">IF(AX36&gt;0,0,SUMPRODUCT((AX$25:AX$124=0)*($B$25:$B$124&gt;=$B36)*($B$25:$B$124&lt;=$B36+ANALYSIS!$G$5)*($C$25:$C$124&gt;=$C36)*($C$25:$C$124&lt;=$C36+ANALYSIS!$G$6)))</f>
        <v>4</v>
      </c>
      <c r="S36" cm="1">
        <f t="array" ref="S36">IF(AY36&gt;0,0,SUMPRODUCT((AY$25:AY$124=0)*($B$25:$B$124&gt;=$B36)*($B$25:$B$124&lt;=$B36+ANALYSIS!$G$5)*($C$25:$C$124&gt;=$C36)*($C$25:$C$124&lt;=$C36+ANALYSIS!$G$6)))</f>
        <v>0</v>
      </c>
      <c r="T36" cm="1">
        <f t="array" ref="T36">IF(AZ36&gt;0,0,SUMPRODUCT((AZ$25:AZ$124=0)*($B$25:$B$124&gt;=$B36)*($B$25:$B$124&lt;=$B36+ANALYSIS!$G$5)*($C$25:$C$124&gt;=$C36)*($C$25:$C$124&lt;=$C36+ANALYSIS!$G$6)))</f>
        <v>0</v>
      </c>
      <c r="U36" cm="1">
        <f t="array" ref="U36">IF(BA36&gt;0,0,SUMPRODUCT((BA$25:BA$124=0)*($B$25:$B$124&gt;=$B36)*($B$25:$B$124&lt;=$B36+ANALYSIS!$G$5)*($C$25:$C$124&gt;=$C36)*($C$25:$C$124&lt;=$C36+ANALYSIS!$G$6)))</f>
        <v>0</v>
      </c>
      <c r="V36" cm="1">
        <f t="array" ref="V36">IF(BB36&gt;0,0,SUMPRODUCT((BB$25:BB$124=0)*($B$25:$B$124&gt;=$B36)*($B$25:$B$124&lt;=$B36+ANALYSIS!$G$5)*($C$25:$C$124&gt;=$C36)*($C$25:$C$124&lt;=$C36+ANALYSIS!$G$6)))</f>
        <v>0</v>
      </c>
      <c r="W36" cm="1">
        <f t="array" ref="W36">IF(BC36&gt;0,0,SUMPRODUCT((BC$25:BC$124=0)*($B$25:$B$124&gt;=$B36)*($B$25:$B$124&lt;=$B36+ANALYSIS!$G$5)*($C$25:$C$124&gt;=$C36)*($C$25:$C$124&lt;=$C36+ANALYSIS!$G$6)))</f>
        <v>0</v>
      </c>
      <c r="X36" cm="1">
        <f t="array" ref="X36">IF(BD36&gt;0,0,SUMPRODUCT((BD$25:BD$124=0)*($B$25:$B$124&gt;=$B36)*($B$25:$B$124&lt;=$B36+ANALYSIS!$G$5)*($C$25:$C$124&gt;=$C36)*($C$25:$C$124&lt;=$C36+ANALYSIS!$G$6)))</f>
        <v>0</v>
      </c>
      <c r="Y36" cm="1">
        <f t="array" ref="Y36">IF(BE36&gt;0,0,SUMPRODUCT((BE$25:BE$124=0)*($B$25:$B$124&gt;=$B36)*($B$25:$B$124&lt;=$B36+ANALYSIS!$G$5)*($C$25:$C$124&gt;=$C36)*($C$25:$C$124&lt;=$C36+ANALYSIS!$G$6)))</f>
        <v>0</v>
      </c>
      <c r="Z36" cm="1">
        <f t="array" ref="Z36">IF(BF36&gt;0,0,SUMPRODUCT((BF$25:BF$124=0)*($B$25:$B$124&gt;=$B36)*($B$25:$B$124&lt;=$B36+ANALYSIS!$G$5)*($C$25:$C$124&gt;=$C36)*($C$25:$C$124&lt;=$C36+ANALYSIS!$G$6)))</f>
        <v>0</v>
      </c>
      <c r="AA36" cm="1">
        <f t="array" ref="AA36">IF(BG36&gt;0,0,SUMPRODUCT((BG$25:BG$124=0)*($B$25:$B$124&gt;=$B36)*($B$25:$B$124&lt;=$B36+ANALYSIS!$G$5)*($C$25:$C$124&gt;=$C36)*($C$25:$C$124&lt;=$C36+ANALYSIS!$G$6)))</f>
        <v>0</v>
      </c>
      <c r="AB36" cm="1">
        <f t="array" ref="AB36">IF(BH36&gt;0,0,SUMPRODUCT((BH$25:BH$124=0)*($B$25:$B$124&gt;=$B36)*($B$25:$B$124&lt;=$B36+ANALYSIS!$G$5)*($C$25:$C$124&gt;=$C36)*($C$25:$C$124&lt;=$C36+ANALYSIS!$G$6)))</f>
        <v>0</v>
      </c>
      <c r="AC36" cm="1">
        <f t="array" ref="AC36">IF(BI36&gt;0,0,SUMPRODUCT((BI$25:BI$124=0)*($B$25:$B$124&gt;=$B36)*($B$25:$B$124&lt;=$B36+ANALYSIS!$G$5)*($C$25:$C$124&gt;=$C36)*($C$25:$C$124&lt;=$C36+ANALYSIS!$G$6)))</f>
        <v>0</v>
      </c>
      <c r="AD36" cm="1">
        <f t="array" ref="AD36">IF(BJ36&gt;0,0,SUMPRODUCT((BJ$25:BJ$124=0)*($B$25:$B$124&gt;=$B36)*($B$25:$B$124&lt;=$B36+ANALYSIS!$G$5)*($C$25:$C$124&gt;=$C36)*($C$25:$C$124&lt;=$C36+ANALYSIS!$G$6)))</f>
        <v>0</v>
      </c>
      <c r="AE36" cm="1">
        <f t="array" ref="AE36">IF(BK36&gt;0,0,SUMPRODUCT((BK$25:BK$124=0)*($B$25:$B$124&gt;=$B36)*($B$25:$B$124&lt;=$B36+ANALYSIS!$G$5)*($C$25:$C$124&gt;=$C36)*($C$25:$C$124&lt;=$C36+ANALYSIS!$G$6)))</f>
        <v>0</v>
      </c>
      <c r="AF36" cm="1">
        <f t="array" ref="AF36">IF(BL36&gt;0,0,SUMPRODUCT((BL$25:BL$124=0)*($B$25:$B$124&gt;=$B36)*($B$25:$B$124&lt;=$B36+ANALYSIS!$G$5)*($C$25:$C$124&gt;=$C36)*($C$25:$C$124&lt;=$C36+ANALYSIS!$G$6)))</f>
        <v>0</v>
      </c>
      <c r="AH36">
        <f>IF(AND(AX36=0,$B36&gt;=R$22,$B36&lt;=R$22+ANALYSIS!$G$5,$C36&gt;=R$23,$C36&lt;=R$23+ANALYSIS!$G$6),1,0)</f>
        <v>1</v>
      </c>
      <c r="AI36">
        <f>IF(AND(AY36=0,$B36&gt;=S$22,$B36&lt;=S$22+ANALYSIS!$G$5,$C36&gt;=S$23,$C36&lt;=S$23+ANALYSIS!$G$6),1,0)</f>
        <v>0</v>
      </c>
      <c r="AJ36">
        <f>IF(AND(AZ36=0,$B36&gt;=T$22,$B36&lt;=T$22+ANALYSIS!$G$5,$C36&gt;=T$23,$C36&lt;=T$23+ANALYSIS!$G$6),1,0)</f>
        <v>0</v>
      </c>
      <c r="AK36">
        <f>IF(AND(BA36=0,$B36&gt;=U$22,$B36&lt;=U$22+ANALYSIS!$G$5,$C36&gt;=U$23,$C36&lt;=U$23+ANALYSIS!$G$6),1,0)</f>
        <v>0</v>
      </c>
      <c r="AL36">
        <f>IF(AND(BB36=0,$B36&gt;=V$22,$B36&lt;=V$22+ANALYSIS!$G$5,$C36&gt;=V$23,$C36&lt;=V$23+ANALYSIS!$G$6),1,0)</f>
        <v>0</v>
      </c>
      <c r="AM36">
        <f>IF(AND(BC36=0,$B36&gt;=W$22,$B36&lt;=W$22+ANALYSIS!$G$5,$C36&gt;=W$23,$C36&lt;=W$23+ANALYSIS!$G$6),1,0)</f>
        <v>0</v>
      </c>
      <c r="AN36">
        <f>IF(AND(BD36=0,$B36&gt;=X$22,$B36&lt;=X$22+ANALYSIS!$G$5,$C36&gt;=X$23,$C36&lt;=X$23+ANALYSIS!$G$6),1,0)</f>
        <v>0</v>
      </c>
      <c r="AO36">
        <f>IF(AND(BE36=0,$B36&gt;=Y$22,$B36&lt;=Y$22+ANALYSIS!$G$5,$C36&gt;=Y$23,$C36&lt;=Y$23+ANALYSIS!$G$6),1,0)</f>
        <v>0</v>
      </c>
      <c r="AP36">
        <f>IF(AND(BF36=0,$B36&gt;=Z$22,$B36&lt;=Z$22+ANALYSIS!$G$5,$C36&gt;=Z$23,$C36&lt;=Z$23+ANALYSIS!$G$6),1,0)</f>
        <v>0</v>
      </c>
      <c r="AQ36">
        <f>IF(AND(BG36=0,$B36&gt;=AA$22,$B36&lt;=AA$22+ANALYSIS!$G$5,$C36&gt;=AA$23,$C36&lt;=AA$23+ANALYSIS!$G$6),1,0)</f>
        <v>0</v>
      </c>
      <c r="AR36">
        <f>IF(AND(BH36=0,$B36&gt;=AB$22,$B36&lt;=AB$22+ANALYSIS!$G$5,$C36&gt;=AB$23,$C36&lt;=AB$23+ANALYSIS!$G$6),1,0)</f>
        <v>0</v>
      </c>
      <c r="AS36">
        <f>IF(AND(BI36=0,$B36&gt;=AC$22,$B36&lt;=AC$22+ANALYSIS!$G$5,$C36&gt;=AC$23,$C36&lt;=AC$23+ANALYSIS!$G$6),1,0)</f>
        <v>0</v>
      </c>
      <c r="AT36">
        <f>IF(AND(BJ36=0,$B36&gt;=AD$22,$B36&lt;=AD$22+ANALYSIS!$G$5,$C36&gt;=AD$23,$C36&lt;=AD$23+ANALYSIS!$G$6),1,0)</f>
        <v>0</v>
      </c>
      <c r="AU36">
        <f>IF(AND(BK36=0,$B36&gt;=AE$22,$B36&lt;=AE$22+ANALYSIS!$G$5,$C36&gt;=AE$23,$C36&lt;=AE$23+ANALYSIS!$G$6),1,0)</f>
        <v>0</v>
      </c>
      <c r="AV36">
        <f>IF(AND(BL36=0,$B36&gt;=AF$22,$B36&lt;=AF$22+ANALYSIS!$G$5,$C36&gt;=AF$23,$C36&lt;=AF$23+ANALYSIS!$G$6),1,0)</f>
        <v>0</v>
      </c>
      <c r="AX36">
        <v>0</v>
      </c>
      <c r="AY36">
        <f t="shared" si="13"/>
        <v>1</v>
      </c>
      <c r="AZ36">
        <f t="shared" si="11"/>
        <v>1</v>
      </c>
      <c r="BA36">
        <f t="shared" si="11"/>
        <v>1</v>
      </c>
      <c r="BB36">
        <f t="shared" si="11"/>
        <v>1</v>
      </c>
      <c r="BC36">
        <f t="shared" si="11"/>
        <v>1</v>
      </c>
      <c r="BD36">
        <f t="shared" si="11"/>
        <v>1</v>
      </c>
      <c r="BE36">
        <f t="shared" si="11"/>
        <v>1</v>
      </c>
      <c r="BF36">
        <f t="shared" si="11"/>
        <v>1</v>
      </c>
      <c r="BG36">
        <f t="shared" si="11"/>
        <v>1</v>
      </c>
      <c r="BH36">
        <f t="shared" si="11"/>
        <v>1</v>
      </c>
      <c r="BI36">
        <f t="shared" si="11"/>
        <v>1</v>
      </c>
      <c r="BJ36">
        <f t="shared" si="11"/>
        <v>1</v>
      </c>
      <c r="BK36">
        <f t="shared" si="11"/>
        <v>1</v>
      </c>
      <c r="BL36">
        <f t="shared" si="11"/>
        <v>1</v>
      </c>
      <c r="BM36">
        <f t="shared" si="11"/>
        <v>1</v>
      </c>
    </row>
    <row r="37" spans="1:65" x14ac:dyDescent="0.25">
      <c r="A37" s="41" t="str">
        <f>ANALYSIS!B43</f>
        <v>19-13</v>
      </c>
      <c r="B37" s="41">
        <f>ANALYSIS!E43</f>
        <v>53</v>
      </c>
      <c r="C37" s="41">
        <f>ANALYSIS!G43</f>
        <v>21.49</v>
      </c>
      <c r="D37" s="41">
        <f t="shared" si="12"/>
        <v>4</v>
      </c>
      <c r="R37" cm="1">
        <f t="array" ref="R37">IF(AX37&gt;0,0,SUMPRODUCT((AX$25:AX$124=0)*($B$25:$B$124&gt;=$B37)*($B$25:$B$124&lt;=$B37+ANALYSIS!$G$5)*($C$25:$C$124&gt;=$C37)*($C$25:$C$124&lt;=$C37+ANALYSIS!$G$6)))</f>
        <v>8</v>
      </c>
      <c r="S37" cm="1">
        <f t="array" ref="S37">IF(AY37&gt;0,0,SUMPRODUCT((AY$25:AY$124=0)*($B$25:$B$124&gt;=$B37)*($B$25:$B$124&lt;=$B37+ANALYSIS!$G$5)*($C$25:$C$124&gt;=$C37)*($C$25:$C$124&lt;=$C37+ANALYSIS!$G$6)))</f>
        <v>8</v>
      </c>
      <c r="T37" cm="1">
        <f t="array" ref="T37">IF(AZ37&gt;0,0,SUMPRODUCT((AZ$25:AZ$124=0)*($B$25:$B$124&gt;=$B37)*($B$25:$B$124&lt;=$B37+ANALYSIS!$G$5)*($C$25:$C$124&gt;=$C37)*($C$25:$C$124&lt;=$C37+ANALYSIS!$G$6)))</f>
        <v>8</v>
      </c>
      <c r="U37" cm="1">
        <f t="array" ref="U37">IF(BA37&gt;0,0,SUMPRODUCT((BA$25:BA$124=0)*($B$25:$B$124&gt;=$B37)*($B$25:$B$124&lt;=$B37+ANALYSIS!$G$5)*($C$25:$C$124&gt;=$C37)*($C$25:$C$124&lt;=$C37+ANALYSIS!$G$6)))</f>
        <v>8</v>
      </c>
      <c r="V37" cm="1">
        <f t="array" ref="V37">IF(BB37&gt;0,0,SUMPRODUCT((BB$25:BB$124=0)*($B$25:$B$124&gt;=$B37)*($B$25:$B$124&lt;=$B37+ANALYSIS!$G$5)*($C$25:$C$124&gt;=$C37)*($C$25:$C$124&lt;=$C37+ANALYSIS!$G$6)))</f>
        <v>0</v>
      </c>
      <c r="W37" cm="1">
        <f t="array" ref="W37">IF(BC37&gt;0,0,SUMPRODUCT((BC$25:BC$124=0)*($B$25:$B$124&gt;=$B37)*($B$25:$B$124&lt;=$B37+ANALYSIS!$G$5)*($C$25:$C$124&gt;=$C37)*($C$25:$C$124&lt;=$C37+ANALYSIS!$G$6)))</f>
        <v>0</v>
      </c>
      <c r="X37" cm="1">
        <f t="array" ref="X37">IF(BD37&gt;0,0,SUMPRODUCT((BD$25:BD$124=0)*($B$25:$B$124&gt;=$B37)*($B$25:$B$124&lt;=$B37+ANALYSIS!$G$5)*($C$25:$C$124&gt;=$C37)*($C$25:$C$124&lt;=$C37+ANALYSIS!$G$6)))</f>
        <v>0</v>
      </c>
      <c r="Y37" cm="1">
        <f t="array" ref="Y37">IF(BE37&gt;0,0,SUMPRODUCT((BE$25:BE$124=0)*($B$25:$B$124&gt;=$B37)*($B$25:$B$124&lt;=$B37+ANALYSIS!$G$5)*($C$25:$C$124&gt;=$C37)*($C$25:$C$124&lt;=$C37+ANALYSIS!$G$6)))</f>
        <v>0</v>
      </c>
      <c r="Z37" cm="1">
        <f t="array" ref="Z37">IF(BF37&gt;0,0,SUMPRODUCT((BF$25:BF$124=0)*($B$25:$B$124&gt;=$B37)*($B$25:$B$124&lt;=$B37+ANALYSIS!$G$5)*($C$25:$C$124&gt;=$C37)*($C$25:$C$124&lt;=$C37+ANALYSIS!$G$6)))</f>
        <v>0</v>
      </c>
      <c r="AA37" cm="1">
        <f t="array" ref="AA37">IF(BG37&gt;0,0,SUMPRODUCT((BG$25:BG$124=0)*($B$25:$B$124&gt;=$B37)*($B$25:$B$124&lt;=$B37+ANALYSIS!$G$5)*($C$25:$C$124&gt;=$C37)*($C$25:$C$124&lt;=$C37+ANALYSIS!$G$6)))</f>
        <v>0</v>
      </c>
      <c r="AB37" cm="1">
        <f t="array" ref="AB37">IF(BH37&gt;0,0,SUMPRODUCT((BH$25:BH$124=0)*($B$25:$B$124&gt;=$B37)*($B$25:$B$124&lt;=$B37+ANALYSIS!$G$5)*($C$25:$C$124&gt;=$C37)*($C$25:$C$124&lt;=$C37+ANALYSIS!$G$6)))</f>
        <v>0</v>
      </c>
      <c r="AC37" cm="1">
        <f t="array" ref="AC37">IF(BI37&gt;0,0,SUMPRODUCT((BI$25:BI$124=0)*($B$25:$B$124&gt;=$B37)*($B$25:$B$124&lt;=$B37+ANALYSIS!$G$5)*($C$25:$C$124&gt;=$C37)*($C$25:$C$124&lt;=$C37+ANALYSIS!$G$6)))</f>
        <v>0</v>
      </c>
      <c r="AD37" cm="1">
        <f t="array" ref="AD37">IF(BJ37&gt;0,0,SUMPRODUCT((BJ$25:BJ$124=0)*($B$25:$B$124&gt;=$B37)*($B$25:$B$124&lt;=$B37+ANALYSIS!$G$5)*($C$25:$C$124&gt;=$C37)*($C$25:$C$124&lt;=$C37+ANALYSIS!$G$6)))</f>
        <v>0</v>
      </c>
      <c r="AE37" cm="1">
        <f t="array" ref="AE37">IF(BK37&gt;0,0,SUMPRODUCT((BK$25:BK$124=0)*($B$25:$B$124&gt;=$B37)*($B$25:$B$124&lt;=$B37+ANALYSIS!$G$5)*($C$25:$C$124&gt;=$C37)*($C$25:$C$124&lt;=$C37+ANALYSIS!$G$6)))</f>
        <v>0</v>
      </c>
      <c r="AF37" cm="1">
        <f t="array" ref="AF37">IF(BL37&gt;0,0,SUMPRODUCT((BL$25:BL$124=0)*($B$25:$B$124&gt;=$B37)*($B$25:$B$124&lt;=$B37+ANALYSIS!$G$5)*($C$25:$C$124&gt;=$C37)*($C$25:$C$124&lt;=$C37+ANALYSIS!$G$6)))</f>
        <v>0</v>
      </c>
      <c r="AH37">
        <f>IF(AND(AX37=0,$B37&gt;=R$22,$B37&lt;=R$22+ANALYSIS!$G$5,$C37&gt;=R$23,$C37&lt;=R$23+ANALYSIS!$G$6),1,0)</f>
        <v>0</v>
      </c>
      <c r="AI37">
        <f>IF(AND(AY37=0,$B37&gt;=S$22,$B37&lt;=S$22+ANALYSIS!$G$5,$C37&gt;=S$23,$C37&lt;=S$23+ANALYSIS!$G$6),1,0)</f>
        <v>0</v>
      </c>
      <c r="AJ37">
        <f>IF(AND(AZ37=0,$B37&gt;=T$22,$B37&lt;=T$22+ANALYSIS!$G$5,$C37&gt;=T$23,$C37&lt;=T$23+ANALYSIS!$G$6),1,0)</f>
        <v>0</v>
      </c>
      <c r="AK37">
        <f>IF(AND(BA37=0,$B37&gt;=U$22,$B37&lt;=U$22+ANALYSIS!$G$5,$C37&gt;=U$23,$C37&lt;=U$23+ANALYSIS!$G$6),1,0)</f>
        <v>1</v>
      </c>
      <c r="AL37">
        <f>IF(AND(BB37=0,$B37&gt;=V$22,$B37&lt;=V$22+ANALYSIS!$G$5,$C37&gt;=V$23,$C37&lt;=V$23+ANALYSIS!$G$6),1,0)</f>
        <v>0</v>
      </c>
      <c r="AM37">
        <f>IF(AND(BC37=0,$B37&gt;=W$22,$B37&lt;=W$22+ANALYSIS!$G$5,$C37&gt;=W$23,$C37&lt;=W$23+ANALYSIS!$G$6),1,0)</f>
        <v>0</v>
      </c>
      <c r="AN37">
        <f>IF(AND(BD37=0,$B37&gt;=X$22,$B37&lt;=X$22+ANALYSIS!$G$5,$C37&gt;=X$23,$C37&lt;=X$23+ANALYSIS!$G$6),1,0)</f>
        <v>0</v>
      </c>
      <c r="AO37">
        <f>IF(AND(BE37=0,$B37&gt;=Y$22,$B37&lt;=Y$22+ANALYSIS!$G$5,$C37&gt;=Y$23,$C37&lt;=Y$23+ANALYSIS!$G$6),1,0)</f>
        <v>0</v>
      </c>
      <c r="AP37">
        <f>IF(AND(BF37=0,$B37&gt;=Z$22,$B37&lt;=Z$22+ANALYSIS!$G$5,$C37&gt;=Z$23,$C37&lt;=Z$23+ANALYSIS!$G$6),1,0)</f>
        <v>0</v>
      </c>
      <c r="AQ37">
        <f>IF(AND(BG37=0,$B37&gt;=AA$22,$B37&lt;=AA$22+ANALYSIS!$G$5,$C37&gt;=AA$23,$C37&lt;=AA$23+ANALYSIS!$G$6),1,0)</f>
        <v>0</v>
      </c>
      <c r="AR37">
        <f>IF(AND(BH37=0,$B37&gt;=AB$22,$B37&lt;=AB$22+ANALYSIS!$G$5,$C37&gt;=AB$23,$C37&lt;=AB$23+ANALYSIS!$G$6),1,0)</f>
        <v>0</v>
      </c>
      <c r="AS37">
        <f>IF(AND(BI37=0,$B37&gt;=AC$22,$B37&lt;=AC$22+ANALYSIS!$G$5,$C37&gt;=AC$23,$C37&lt;=AC$23+ANALYSIS!$G$6),1,0)</f>
        <v>0</v>
      </c>
      <c r="AT37">
        <f>IF(AND(BJ37=0,$B37&gt;=AD$22,$B37&lt;=AD$22+ANALYSIS!$G$5,$C37&gt;=AD$23,$C37&lt;=AD$23+ANALYSIS!$G$6),1,0)</f>
        <v>0</v>
      </c>
      <c r="AU37">
        <f>IF(AND(BK37=0,$B37&gt;=AE$22,$B37&lt;=AE$22+ANALYSIS!$G$5,$C37&gt;=AE$23,$C37&lt;=AE$23+ANALYSIS!$G$6),1,0)</f>
        <v>0</v>
      </c>
      <c r="AV37">
        <f>IF(AND(BL37=0,$B37&gt;=AF$22,$B37&lt;=AF$22+ANALYSIS!$G$5,$C37&gt;=AF$23,$C37&lt;=AF$23+ANALYSIS!$G$6),1,0)</f>
        <v>0</v>
      </c>
      <c r="AX37">
        <v>0</v>
      </c>
      <c r="AY37">
        <f t="shared" si="13"/>
        <v>0</v>
      </c>
      <c r="AZ37">
        <f t="shared" si="11"/>
        <v>0</v>
      </c>
      <c r="BA37">
        <f t="shared" si="11"/>
        <v>0</v>
      </c>
      <c r="BB37">
        <f t="shared" si="11"/>
        <v>1</v>
      </c>
      <c r="BC37">
        <f t="shared" si="11"/>
        <v>1</v>
      </c>
      <c r="BD37">
        <f t="shared" si="11"/>
        <v>1</v>
      </c>
      <c r="BE37">
        <f t="shared" si="11"/>
        <v>1</v>
      </c>
      <c r="BF37">
        <f t="shared" si="11"/>
        <v>1</v>
      </c>
      <c r="BG37">
        <f t="shared" si="11"/>
        <v>1</v>
      </c>
      <c r="BH37">
        <f t="shared" si="11"/>
        <v>1</v>
      </c>
      <c r="BI37">
        <f t="shared" si="11"/>
        <v>1</v>
      </c>
      <c r="BJ37">
        <f t="shared" si="11"/>
        <v>1</v>
      </c>
      <c r="BK37">
        <f t="shared" si="11"/>
        <v>1</v>
      </c>
      <c r="BL37">
        <f t="shared" si="11"/>
        <v>1</v>
      </c>
      <c r="BM37">
        <f t="shared" si="11"/>
        <v>1</v>
      </c>
    </row>
    <row r="38" spans="1:65" x14ac:dyDescent="0.25">
      <c r="A38" s="41" t="str">
        <f>ANALYSIS!B44</f>
        <v>19-14</v>
      </c>
      <c r="B38" s="41">
        <f>ANALYSIS!E44</f>
        <v>55.5</v>
      </c>
      <c r="C38" s="41">
        <f>ANALYSIS!G44</f>
        <v>23.4</v>
      </c>
      <c r="D38" s="41">
        <f t="shared" si="12"/>
        <v>2</v>
      </c>
      <c r="R38" cm="1">
        <f t="array" ref="R38">IF(AX38&gt;0,0,SUMPRODUCT((AX$25:AX$124=0)*($B$25:$B$124&gt;=$B38)*($B$25:$B$124&lt;=$B38+ANALYSIS!$G$5)*($C$25:$C$124&gt;=$C38)*($C$25:$C$124&lt;=$C38+ANALYSIS!$G$6)))</f>
        <v>7</v>
      </c>
      <c r="S38" cm="1">
        <f t="array" ref="S38">IF(AY38&gt;0,0,SUMPRODUCT((AY$25:AY$124=0)*($B$25:$B$124&gt;=$B38)*($B$25:$B$124&lt;=$B38+ANALYSIS!$G$5)*($C$25:$C$124&gt;=$C38)*($C$25:$C$124&lt;=$C38+ANALYSIS!$G$6)))</f>
        <v>6</v>
      </c>
      <c r="T38" cm="1">
        <f t="array" ref="T38">IF(AZ38&gt;0,0,SUMPRODUCT((AZ$25:AZ$124=0)*($B$25:$B$124&gt;=$B38)*($B$25:$B$124&lt;=$B38+ANALYSIS!$G$5)*($C$25:$C$124&gt;=$C38)*($C$25:$C$124&lt;=$C38+ANALYSIS!$G$6)))</f>
        <v>0</v>
      </c>
      <c r="U38" cm="1">
        <f t="array" ref="U38">IF(BA38&gt;0,0,SUMPRODUCT((BA$25:BA$124=0)*($B$25:$B$124&gt;=$B38)*($B$25:$B$124&lt;=$B38+ANALYSIS!$G$5)*($C$25:$C$124&gt;=$C38)*($C$25:$C$124&lt;=$C38+ANALYSIS!$G$6)))</f>
        <v>0</v>
      </c>
      <c r="V38" cm="1">
        <f t="array" ref="V38">IF(BB38&gt;0,0,SUMPRODUCT((BB$25:BB$124=0)*($B$25:$B$124&gt;=$B38)*($B$25:$B$124&lt;=$B38+ANALYSIS!$G$5)*($C$25:$C$124&gt;=$C38)*($C$25:$C$124&lt;=$C38+ANALYSIS!$G$6)))</f>
        <v>0</v>
      </c>
      <c r="W38" cm="1">
        <f t="array" ref="W38">IF(BC38&gt;0,0,SUMPRODUCT((BC$25:BC$124=0)*($B$25:$B$124&gt;=$B38)*($B$25:$B$124&lt;=$B38+ANALYSIS!$G$5)*($C$25:$C$124&gt;=$C38)*($C$25:$C$124&lt;=$C38+ANALYSIS!$G$6)))</f>
        <v>0</v>
      </c>
      <c r="X38" cm="1">
        <f t="array" ref="X38">IF(BD38&gt;0,0,SUMPRODUCT((BD$25:BD$124=0)*($B$25:$B$124&gt;=$B38)*($B$25:$B$124&lt;=$B38+ANALYSIS!$G$5)*($C$25:$C$124&gt;=$C38)*($C$25:$C$124&lt;=$C38+ANALYSIS!$G$6)))</f>
        <v>0</v>
      </c>
      <c r="Y38" cm="1">
        <f t="array" ref="Y38">IF(BE38&gt;0,0,SUMPRODUCT((BE$25:BE$124=0)*($B$25:$B$124&gt;=$B38)*($B$25:$B$124&lt;=$B38+ANALYSIS!$G$5)*($C$25:$C$124&gt;=$C38)*($C$25:$C$124&lt;=$C38+ANALYSIS!$G$6)))</f>
        <v>0</v>
      </c>
      <c r="Z38" cm="1">
        <f t="array" ref="Z38">IF(BF38&gt;0,0,SUMPRODUCT((BF$25:BF$124=0)*($B$25:$B$124&gt;=$B38)*($B$25:$B$124&lt;=$B38+ANALYSIS!$G$5)*($C$25:$C$124&gt;=$C38)*($C$25:$C$124&lt;=$C38+ANALYSIS!$G$6)))</f>
        <v>0</v>
      </c>
      <c r="AA38" cm="1">
        <f t="array" ref="AA38">IF(BG38&gt;0,0,SUMPRODUCT((BG$25:BG$124=0)*($B$25:$B$124&gt;=$B38)*($B$25:$B$124&lt;=$B38+ANALYSIS!$G$5)*($C$25:$C$124&gt;=$C38)*($C$25:$C$124&lt;=$C38+ANALYSIS!$G$6)))</f>
        <v>0</v>
      </c>
      <c r="AB38" cm="1">
        <f t="array" ref="AB38">IF(BH38&gt;0,0,SUMPRODUCT((BH$25:BH$124=0)*($B$25:$B$124&gt;=$B38)*($B$25:$B$124&lt;=$B38+ANALYSIS!$G$5)*($C$25:$C$124&gt;=$C38)*($C$25:$C$124&lt;=$C38+ANALYSIS!$G$6)))</f>
        <v>0</v>
      </c>
      <c r="AC38" cm="1">
        <f t="array" ref="AC38">IF(BI38&gt;0,0,SUMPRODUCT((BI$25:BI$124=0)*($B$25:$B$124&gt;=$B38)*($B$25:$B$124&lt;=$B38+ANALYSIS!$G$5)*($C$25:$C$124&gt;=$C38)*($C$25:$C$124&lt;=$C38+ANALYSIS!$G$6)))</f>
        <v>0</v>
      </c>
      <c r="AD38" cm="1">
        <f t="array" ref="AD38">IF(BJ38&gt;0,0,SUMPRODUCT((BJ$25:BJ$124=0)*($B$25:$B$124&gt;=$B38)*($B$25:$B$124&lt;=$B38+ANALYSIS!$G$5)*($C$25:$C$124&gt;=$C38)*($C$25:$C$124&lt;=$C38+ANALYSIS!$G$6)))</f>
        <v>0</v>
      </c>
      <c r="AE38" cm="1">
        <f t="array" ref="AE38">IF(BK38&gt;0,0,SUMPRODUCT((BK$25:BK$124=0)*($B$25:$B$124&gt;=$B38)*($B$25:$B$124&lt;=$B38+ANALYSIS!$G$5)*($C$25:$C$124&gt;=$C38)*($C$25:$C$124&lt;=$C38+ANALYSIS!$G$6)))</f>
        <v>0</v>
      </c>
      <c r="AF38" cm="1">
        <f t="array" ref="AF38">IF(BL38&gt;0,0,SUMPRODUCT((BL$25:BL$124=0)*($B$25:$B$124&gt;=$B38)*($B$25:$B$124&lt;=$B38+ANALYSIS!$G$5)*($C$25:$C$124&gt;=$C38)*($C$25:$C$124&lt;=$C38+ANALYSIS!$G$6)))</f>
        <v>0</v>
      </c>
      <c r="AH38">
        <f>IF(AND(AX38=0,$B38&gt;=R$22,$B38&lt;=R$22+ANALYSIS!$G$5,$C38&gt;=R$23,$C38&lt;=R$23+ANALYSIS!$G$6),1,0)</f>
        <v>0</v>
      </c>
      <c r="AI38">
        <f>IF(AND(AY38=0,$B38&gt;=S$22,$B38&lt;=S$22+ANALYSIS!$G$5,$C38&gt;=S$23,$C38&lt;=S$23+ANALYSIS!$G$6),1,0)</f>
        <v>1</v>
      </c>
      <c r="AJ38">
        <f>IF(AND(AZ38=0,$B38&gt;=T$22,$B38&lt;=T$22+ANALYSIS!$G$5,$C38&gt;=T$23,$C38&lt;=T$23+ANALYSIS!$G$6),1,0)</f>
        <v>0</v>
      </c>
      <c r="AK38">
        <f>IF(AND(BA38=0,$B38&gt;=U$22,$B38&lt;=U$22+ANALYSIS!$G$5,$C38&gt;=U$23,$C38&lt;=U$23+ANALYSIS!$G$6),1,0)</f>
        <v>0</v>
      </c>
      <c r="AL38">
        <f>IF(AND(BB38=0,$B38&gt;=V$22,$B38&lt;=V$22+ANALYSIS!$G$5,$C38&gt;=V$23,$C38&lt;=V$23+ANALYSIS!$G$6),1,0)</f>
        <v>0</v>
      </c>
      <c r="AM38">
        <f>IF(AND(BC38=0,$B38&gt;=W$22,$B38&lt;=W$22+ANALYSIS!$G$5,$C38&gt;=W$23,$C38&lt;=W$23+ANALYSIS!$G$6),1,0)</f>
        <v>0</v>
      </c>
      <c r="AN38">
        <f>IF(AND(BD38=0,$B38&gt;=X$22,$B38&lt;=X$22+ANALYSIS!$G$5,$C38&gt;=X$23,$C38&lt;=X$23+ANALYSIS!$G$6),1,0)</f>
        <v>0</v>
      </c>
      <c r="AO38">
        <f>IF(AND(BE38=0,$B38&gt;=Y$22,$B38&lt;=Y$22+ANALYSIS!$G$5,$C38&gt;=Y$23,$C38&lt;=Y$23+ANALYSIS!$G$6),1,0)</f>
        <v>0</v>
      </c>
      <c r="AP38">
        <f>IF(AND(BF38=0,$B38&gt;=Z$22,$B38&lt;=Z$22+ANALYSIS!$G$5,$C38&gt;=Z$23,$C38&lt;=Z$23+ANALYSIS!$G$6),1,0)</f>
        <v>0</v>
      </c>
      <c r="AQ38">
        <f>IF(AND(BG38=0,$B38&gt;=AA$22,$B38&lt;=AA$22+ANALYSIS!$G$5,$C38&gt;=AA$23,$C38&lt;=AA$23+ANALYSIS!$G$6),1,0)</f>
        <v>0</v>
      </c>
      <c r="AR38">
        <f>IF(AND(BH38=0,$B38&gt;=AB$22,$B38&lt;=AB$22+ANALYSIS!$G$5,$C38&gt;=AB$23,$C38&lt;=AB$23+ANALYSIS!$G$6),1,0)</f>
        <v>0</v>
      </c>
      <c r="AS38">
        <f>IF(AND(BI38=0,$B38&gt;=AC$22,$B38&lt;=AC$22+ANALYSIS!$G$5,$C38&gt;=AC$23,$C38&lt;=AC$23+ANALYSIS!$G$6),1,0)</f>
        <v>0</v>
      </c>
      <c r="AT38">
        <f>IF(AND(BJ38=0,$B38&gt;=AD$22,$B38&lt;=AD$22+ANALYSIS!$G$5,$C38&gt;=AD$23,$C38&lt;=AD$23+ANALYSIS!$G$6),1,0)</f>
        <v>0</v>
      </c>
      <c r="AU38">
        <f>IF(AND(BK38=0,$B38&gt;=AE$22,$B38&lt;=AE$22+ANALYSIS!$G$5,$C38&gt;=AE$23,$C38&lt;=AE$23+ANALYSIS!$G$6),1,0)</f>
        <v>0</v>
      </c>
      <c r="AV38">
        <f>IF(AND(BL38=0,$B38&gt;=AF$22,$B38&lt;=AF$22+ANALYSIS!$G$5,$C38&gt;=AF$23,$C38&lt;=AF$23+ANALYSIS!$G$6),1,0)</f>
        <v>0</v>
      </c>
      <c r="AX38">
        <v>0</v>
      </c>
      <c r="AY38">
        <f t="shared" si="13"/>
        <v>0</v>
      </c>
      <c r="AZ38">
        <f t="shared" si="11"/>
        <v>1</v>
      </c>
      <c r="BA38">
        <f t="shared" si="11"/>
        <v>1</v>
      </c>
      <c r="BB38">
        <f t="shared" si="11"/>
        <v>1</v>
      </c>
      <c r="BC38">
        <f t="shared" si="11"/>
        <v>1</v>
      </c>
      <c r="BD38">
        <f t="shared" si="11"/>
        <v>1</v>
      </c>
      <c r="BE38">
        <f t="shared" si="11"/>
        <v>1</v>
      </c>
      <c r="BF38">
        <f t="shared" si="11"/>
        <v>1</v>
      </c>
      <c r="BG38">
        <f t="shared" si="11"/>
        <v>1</v>
      </c>
      <c r="BH38">
        <f t="shared" si="11"/>
        <v>1</v>
      </c>
      <c r="BI38">
        <f t="shared" si="11"/>
        <v>1</v>
      </c>
      <c r="BJ38">
        <f t="shared" si="11"/>
        <v>1</v>
      </c>
      <c r="BK38">
        <f t="shared" si="11"/>
        <v>1</v>
      </c>
      <c r="BL38">
        <f t="shared" si="11"/>
        <v>1</v>
      </c>
      <c r="BM38">
        <f t="shared" si="11"/>
        <v>1</v>
      </c>
    </row>
    <row r="39" spans="1:65" x14ac:dyDescent="0.25">
      <c r="A39" s="41" t="str">
        <f>ANALYSIS!B45</f>
        <v>19-15</v>
      </c>
      <c r="B39" s="41">
        <f>ANALYSIS!E45</f>
        <v>56</v>
      </c>
      <c r="C39" s="41">
        <f>ANALYSIS!G45</f>
        <v>23.44</v>
      </c>
      <c r="D39" s="41">
        <f t="shared" si="12"/>
        <v>2</v>
      </c>
      <c r="R39" cm="1">
        <f t="array" ref="R39">IF(AX39&gt;0,0,SUMPRODUCT((AX$25:AX$124=0)*($B$25:$B$124&gt;=$B39)*($B$25:$B$124&lt;=$B39+ANALYSIS!$G$5)*($C$25:$C$124&gt;=$C39)*($C$25:$C$124&lt;=$C39+ANALYSIS!$G$6)))</f>
        <v>6</v>
      </c>
      <c r="S39" cm="1">
        <f t="array" ref="S39">IF(AY39&gt;0,0,SUMPRODUCT((AY$25:AY$124=0)*($B$25:$B$124&gt;=$B39)*($B$25:$B$124&lt;=$B39+ANALYSIS!$G$5)*($C$25:$C$124&gt;=$C39)*($C$25:$C$124&lt;=$C39+ANALYSIS!$G$6)))</f>
        <v>5</v>
      </c>
      <c r="T39" cm="1">
        <f t="array" ref="T39">IF(AZ39&gt;0,0,SUMPRODUCT((AZ$25:AZ$124=0)*($B$25:$B$124&gt;=$B39)*($B$25:$B$124&lt;=$B39+ANALYSIS!$G$5)*($C$25:$C$124&gt;=$C39)*($C$25:$C$124&lt;=$C39+ANALYSIS!$G$6)))</f>
        <v>0</v>
      </c>
      <c r="U39" cm="1">
        <f t="array" ref="U39">IF(BA39&gt;0,0,SUMPRODUCT((BA$25:BA$124=0)*($B$25:$B$124&gt;=$B39)*($B$25:$B$124&lt;=$B39+ANALYSIS!$G$5)*($C$25:$C$124&gt;=$C39)*($C$25:$C$124&lt;=$C39+ANALYSIS!$G$6)))</f>
        <v>0</v>
      </c>
      <c r="V39" cm="1">
        <f t="array" ref="V39">IF(BB39&gt;0,0,SUMPRODUCT((BB$25:BB$124=0)*($B$25:$B$124&gt;=$B39)*($B$25:$B$124&lt;=$B39+ANALYSIS!$G$5)*($C$25:$C$124&gt;=$C39)*($C$25:$C$124&lt;=$C39+ANALYSIS!$G$6)))</f>
        <v>0</v>
      </c>
      <c r="W39" cm="1">
        <f t="array" ref="W39">IF(BC39&gt;0,0,SUMPRODUCT((BC$25:BC$124=0)*($B$25:$B$124&gt;=$B39)*($B$25:$B$124&lt;=$B39+ANALYSIS!$G$5)*($C$25:$C$124&gt;=$C39)*($C$25:$C$124&lt;=$C39+ANALYSIS!$G$6)))</f>
        <v>0</v>
      </c>
      <c r="X39" cm="1">
        <f t="array" ref="X39">IF(BD39&gt;0,0,SUMPRODUCT((BD$25:BD$124=0)*($B$25:$B$124&gt;=$B39)*($B$25:$B$124&lt;=$B39+ANALYSIS!$G$5)*($C$25:$C$124&gt;=$C39)*($C$25:$C$124&lt;=$C39+ANALYSIS!$G$6)))</f>
        <v>0</v>
      </c>
      <c r="Y39" cm="1">
        <f t="array" ref="Y39">IF(BE39&gt;0,0,SUMPRODUCT((BE$25:BE$124=0)*($B$25:$B$124&gt;=$B39)*($B$25:$B$124&lt;=$B39+ANALYSIS!$G$5)*($C$25:$C$124&gt;=$C39)*($C$25:$C$124&lt;=$C39+ANALYSIS!$G$6)))</f>
        <v>0</v>
      </c>
      <c r="Z39" cm="1">
        <f t="array" ref="Z39">IF(BF39&gt;0,0,SUMPRODUCT((BF$25:BF$124=0)*($B$25:$B$124&gt;=$B39)*($B$25:$B$124&lt;=$B39+ANALYSIS!$G$5)*($C$25:$C$124&gt;=$C39)*($C$25:$C$124&lt;=$C39+ANALYSIS!$G$6)))</f>
        <v>0</v>
      </c>
      <c r="AA39" cm="1">
        <f t="array" ref="AA39">IF(BG39&gt;0,0,SUMPRODUCT((BG$25:BG$124=0)*($B$25:$B$124&gt;=$B39)*($B$25:$B$124&lt;=$B39+ANALYSIS!$G$5)*($C$25:$C$124&gt;=$C39)*($C$25:$C$124&lt;=$C39+ANALYSIS!$G$6)))</f>
        <v>0</v>
      </c>
      <c r="AB39" cm="1">
        <f t="array" ref="AB39">IF(BH39&gt;0,0,SUMPRODUCT((BH$25:BH$124=0)*($B$25:$B$124&gt;=$B39)*($B$25:$B$124&lt;=$B39+ANALYSIS!$G$5)*($C$25:$C$124&gt;=$C39)*($C$25:$C$124&lt;=$C39+ANALYSIS!$G$6)))</f>
        <v>0</v>
      </c>
      <c r="AC39" cm="1">
        <f t="array" ref="AC39">IF(BI39&gt;0,0,SUMPRODUCT((BI$25:BI$124=0)*($B$25:$B$124&gt;=$B39)*($B$25:$B$124&lt;=$B39+ANALYSIS!$G$5)*($C$25:$C$124&gt;=$C39)*($C$25:$C$124&lt;=$C39+ANALYSIS!$G$6)))</f>
        <v>0</v>
      </c>
      <c r="AD39" cm="1">
        <f t="array" ref="AD39">IF(BJ39&gt;0,0,SUMPRODUCT((BJ$25:BJ$124=0)*($B$25:$B$124&gt;=$B39)*($B$25:$B$124&lt;=$B39+ANALYSIS!$G$5)*($C$25:$C$124&gt;=$C39)*($C$25:$C$124&lt;=$C39+ANALYSIS!$G$6)))</f>
        <v>0</v>
      </c>
      <c r="AE39" cm="1">
        <f t="array" ref="AE39">IF(BK39&gt;0,0,SUMPRODUCT((BK$25:BK$124=0)*($B$25:$B$124&gt;=$B39)*($B$25:$B$124&lt;=$B39+ANALYSIS!$G$5)*($C$25:$C$124&gt;=$C39)*($C$25:$C$124&lt;=$C39+ANALYSIS!$G$6)))</f>
        <v>0</v>
      </c>
      <c r="AF39" cm="1">
        <f t="array" ref="AF39">IF(BL39&gt;0,0,SUMPRODUCT((BL$25:BL$124=0)*($B$25:$B$124&gt;=$B39)*($B$25:$B$124&lt;=$B39+ANALYSIS!$G$5)*($C$25:$C$124&gt;=$C39)*($C$25:$C$124&lt;=$C39+ANALYSIS!$G$6)))</f>
        <v>0</v>
      </c>
      <c r="AH39">
        <f>IF(AND(AX39=0,$B39&gt;=R$22,$B39&lt;=R$22+ANALYSIS!$G$5,$C39&gt;=R$23,$C39&lt;=R$23+ANALYSIS!$G$6),1,0)</f>
        <v>0</v>
      </c>
      <c r="AI39">
        <f>IF(AND(AY39=0,$B39&gt;=S$22,$B39&lt;=S$22+ANALYSIS!$G$5,$C39&gt;=S$23,$C39&lt;=S$23+ANALYSIS!$G$6),1,0)</f>
        <v>1</v>
      </c>
      <c r="AJ39">
        <f>IF(AND(AZ39=0,$B39&gt;=T$22,$B39&lt;=T$22+ANALYSIS!$G$5,$C39&gt;=T$23,$C39&lt;=T$23+ANALYSIS!$G$6),1,0)</f>
        <v>0</v>
      </c>
      <c r="AK39">
        <f>IF(AND(BA39=0,$B39&gt;=U$22,$B39&lt;=U$22+ANALYSIS!$G$5,$C39&gt;=U$23,$C39&lt;=U$23+ANALYSIS!$G$6),1,0)</f>
        <v>0</v>
      </c>
      <c r="AL39">
        <f>IF(AND(BB39=0,$B39&gt;=V$22,$B39&lt;=V$22+ANALYSIS!$G$5,$C39&gt;=V$23,$C39&lt;=V$23+ANALYSIS!$G$6),1,0)</f>
        <v>0</v>
      </c>
      <c r="AM39">
        <f>IF(AND(BC39=0,$B39&gt;=W$22,$B39&lt;=W$22+ANALYSIS!$G$5,$C39&gt;=W$23,$C39&lt;=W$23+ANALYSIS!$G$6),1,0)</f>
        <v>0</v>
      </c>
      <c r="AN39">
        <f>IF(AND(BD39=0,$B39&gt;=X$22,$B39&lt;=X$22+ANALYSIS!$G$5,$C39&gt;=X$23,$C39&lt;=X$23+ANALYSIS!$G$6),1,0)</f>
        <v>0</v>
      </c>
      <c r="AO39">
        <f>IF(AND(BE39=0,$B39&gt;=Y$22,$B39&lt;=Y$22+ANALYSIS!$G$5,$C39&gt;=Y$23,$C39&lt;=Y$23+ANALYSIS!$G$6),1,0)</f>
        <v>0</v>
      </c>
      <c r="AP39">
        <f>IF(AND(BF39=0,$B39&gt;=Z$22,$B39&lt;=Z$22+ANALYSIS!$G$5,$C39&gt;=Z$23,$C39&lt;=Z$23+ANALYSIS!$G$6),1,0)</f>
        <v>0</v>
      </c>
      <c r="AQ39">
        <f>IF(AND(BG39=0,$B39&gt;=AA$22,$B39&lt;=AA$22+ANALYSIS!$G$5,$C39&gt;=AA$23,$C39&lt;=AA$23+ANALYSIS!$G$6),1,0)</f>
        <v>0</v>
      </c>
      <c r="AR39">
        <f>IF(AND(BH39=0,$B39&gt;=AB$22,$B39&lt;=AB$22+ANALYSIS!$G$5,$C39&gt;=AB$23,$C39&lt;=AB$23+ANALYSIS!$G$6),1,0)</f>
        <v>0</v>
      </c>
      <c r="AS39">
        <f>IF(AND(BI39=0,$B39&gt;=AC$22,$B39&lt;=AC$22+ANALYSIS!$G$5,$C39&gt;=AC$23,$C39&lt;=AC$23+ANALYSIS!$G$6),1,0)</f>
        <v>0</v>
      </c>
      <c r="AT39">
        <f>IF(AND(BJ39=0,$B39&gt;=AD$22,$B39&lt;=AD$22+ANALYSIS!$G$5,$C39&gt;=AD$23,$C39&lt;=AD$23+ANALYSIS!$G$6),1,0)</f>
        <v>0</v>
      </c>
      <c r="AU39">
        <f>IF(AND(BK39=0,$B39&gt;=AE$22,$B39&lt;=AE$22+ANALYSIS!$G$5,$C39&gt;=AE$23,$C39&lt;=AE$23+ANALYSIS!$G$6),1,0)</f>
        <v>0</v>
      </c>
      <c r="AV39">
        <f>IF(AND(BL39=0,$B39&gt;=AF$22,$B39&lt;=AF$22+ANALYSIS!$G$5,$C39&gt;=AF$23,$C39&lt;=AF$23+ANALYSIS!$G$6),1,0)</f>
        <v>0</v>
      </c>
      <c r="AX39">
        <v>0</v>
      </c>
      <c r="AY39">
        <f t="shared" si="13"/>
        <v>0</v>
      </c>
      <c r="AZ39">
        <f t="shared" si="11"/>
        <v>1</v>
      </c>
      <c r="BA39">
        <f t="shared" si="11"/>
        <v>1</v>
      </c>
      <c r="BB39">
        <f t="shared" si="11"/>
        <v>1</v>
      </c>
      <c r="BC39">
        <f t="shared" si="11"/>
        <v>1</v>
      </c>
      <c r="BD39">
        <f t="shared" si="11"/>
        <v>1</v>
      </c>
      <c r="BE39">
        <f t="shared" si="11"/>
        <v>1</v>
      </c>
      <c r="BF39">
        <f t="shared" si="11"/>
        <v>1</v>
      </c>
      <c r="BG39">
        <f t="shared" si="11"/>
        <v>1</v>
      </c>
      <c r="BH39">
        <f t="shared" si="11"/>
        <v>1</v>
      </c>
      <c r="BI39">
        <f t="shared" si="11"/>
        <v>1</v>
      </c>
      <c r="BJ39">
        <f t="shared" si="11"/>
        <v>1</v>
      </c>
      <c r="BK39">
        <f t="shared" si="11"/>
        <v>1</v>
      </c>
      <c r="BL39">
        <f t="shared" si="11"/>
        <v>1</v>
      </c>
      <c r="BM39">
        <f t="shared" si="11"/>
        <v>1</v>
      </c>
    </row>
    <row r="40" spans="1:65" x14ac:dyDescent="0.25">
      <c r="A40" s="41" t="str">
        <f>ANALYSIS!B46</f>
        <v>19-16</v>
      </c>
      <c r="B40" s="41">
        <f>ANALYSIS!E46</f>
        <v>56</v>
      </c>
      <c r="C40" s="41">
        <f>ANALYSIS!G46</f>
        <v>21.93</v>
      </c>
      <c r="D40" s="41">
        <f t="shared" si="12"/>
        <v>4</v>
      </c>
      <c r="R40" cm="1">
        <f t="array" ref="R40">IF(AX40&gt;0,0,SUMPRODUCT((AX$25:AX$124=0)*($B$25:$B$124&gt;=$B40)*($B$25:$B$124&lt;=$B40+ANALYSIS!$G$5)*($C$25:$C$124&gt;=$C40)*($C$25:$C$124&lt;=$C40+ANALYSIS!$G$6)))</f>
        <v>5</v>
      </c>
      <c r="S40" cm="1">
        <f t="array" ref="S40">IF(AY40&gt;0,0,SUMPRODUCT((AY$25:AY$124=0)*($B$25:$B$124&gt;=$B40)*($B$25:$B$124&lt;=$B40+ANALYSIS!$G$5)*($C$25:$C$124&gt;=$C40)*($C$25:$C$124&lt;=$C40+ANALYSIS!$G$6)))</f>
        <v>5</v>
      </c>
      <c r="T40" cm="1">
        <f t="array" ref="T40">IF(AZ40&gt;0,0,SUMPRODUCT((AZ$25:AZ$124=0)*($B$25:$B$124&gt;=$B40)*($B$25:$B$124&lt;=$B40+ANALYSIS!$G$5)*($C$25:$C$124&gt;=$C40)*($C$25:$C$124&lt;=$C40+ANALYSIS!$G$6)))</f>
        <v>5</v>
      </c>
      <c r="U40" cm="1">
        <f t="array" ref="U40">IF(BA40&gt;0,0,SUMPRODUCT((BA$25:BA$124=0)*($B$25:$B$124&gt;=$B40)*($B$25:$B$124&lt;=$B40+ANALYSIS!$G$5)*($C$25:$C$124&gt;=$C40)*($C$25:$C$124&lt;=$C40+ANALYSIS!$G$6)))</f>
        <v>5</v>
      </c>
      <c r="V40" cm="1">
        <f t="array" ref="V40">IF(BB40&gt;0,0,SUMPRODUCT((BB$25:BB$124=0)*($B$25:$B$124&gt;=$B40)*($B$25:$B$124&lt;=$B40+ANALYSIS!$G$5)*($C$25:$C$124&gt;=$C40)*($C$25:$C$124&lt;=$C40+ANALYSIS!$G$6)))</f>
        <v>0</v>
      </c>
      <c r="W40" cm="1">
        <f t="array" ref="W40">IF(BC40&gt;0,0,SUMPRODUCT((BC$25:BC$124=0)*($B$25:$B$124&gt;=$B40)*($B$25:$B$124&lt;=$B40+ANALYSIS!$G$5)*($C$25:$C$124&gt;=$C40)*($C$25:$C$124&lt;=$C40+ANALYSIS!$G$6)))</f>
        <v>0</v>
      </c>
      <c r="X40" cm="1">
        <f t="array" ref="X40">IF(BD40&gt;0,0,SUMPRODUCT((BD$25:BD$124=0)*($B$25:$B$124&gt;=$B40)*($B$25:$B$124&lt;=$B40+ANALYSIS!$G$5)*($C$25:$C$124&gt;=$C40)*($C$25:$C$124&lt;=$C40+ANALYSIS!$G$6)))</f>
        <v>0</v>
      </c>
      <c r="Y40" cm="1">
        <f t="array" ref="Y40">IF(BE40&gt;0,0,SUMPRODUCT((BE$25:BE$124=0)*($B$25:$B$124&gt;=$B40)*($B$25:$B$124&lt;=$B40+ANALYSIS!$G$5)*($C$25:$C$124&gt;=$C40)*($C$25:$C$124&lt;=$C40+ANALYSIS!$G$6)))</f>
        <v>0</v>
      </c>
      <c r="Z40" cm="1">
        <f t="array" ref="Z40">IF(BF40&gt;0,0,SUMPRODUCT((BF$25:BF$124=0)*($B$25:$B$124&gt;=$B40)*($B$25:$B$124&lt;=$B40+ANALYSIS!$G$5)*($C$25:$C$124&gt;=$C40)*($C$25:$C$124&lt;=$C40+ANALYSIS!$G$6)))</f>
        <v>0</v>
      </c>
      <c r="AA40" cm="1">
        <f t="array" ref="AA40">IF(BG40&gt;0,0,SUMPRODUCT((BG$25:BG$124=0)*($B$25:$B$124&gt;=$B40)*($B$25:$B$124&lt;=$B40+ANALYSIS!$G$5)*($C$25:$C$124&gt;=$C40)*($C$25:$C$124&lt;=$C40+ANALYSIS!$G$6)))</f>
        <v>0</v>
      </c>
      <c r="AB40" cm="1">
        <f t="array" ref="AB40">IF(BH40&gt;0,0,SUMPRODUCT((BH$25:BH$124=0)*($B$25:$B$124&gt;=$B40)*($B$25:$B$124&lt;=$B40+ANALYSIS!$G$5)*($C$25:$C$124&gt;=$C40)*($C$25:$C$124&lt;=$C40+ANALYSIS!$G$6)))</f>
        <v>0</v>
      </c>
      <c r="AC40" cm="1">
        <f t="array" ref="AC40">IF(BI40&gt;0,0,SUMPRODUCT((BI$25:BI$124=0)*($B$25:$B$124&gt;=$B40)*($B$25:$B$124&lt;=$B40+ANALYSIS!$G$5)*($C$25:$C$124&gt;=$C40)*($C$25:$C$124&lt;=$C40+ANALYSIS!$G$6)))</f>
        <v>0</v>
      </c>
      <c r="AD40" cm="1">
        <f t="array" ref="AD40">IF(BJ40&gt;0,0,SUMPRODUCT((BJ$25:BJ$124=0)*($B$25:$B$124&gt;=$B40)*($B$25:$B$124&lt;=$B40+ANALYSIS!$G$5)*($C$25:$C$124&gt;=$C40)*($C$25:$C$124&lt;=$C40+ANALYSIS!$G$6)))</f>
        <v>0</v>
      </c>
      <c r="AE40" cm="1">
        <f t="array" ref="AE40">IF(BK40&gt;0,0,SUMPRODUCT((BK$25:BK$124=0)*($B$25:$B$124&gt;=$B40)*($B$25:$B$124&lt;=$B40+ANALYSIS!$G$5)*($C$25:$C$124&gt;=$C40)*($C$25:$C$124&lt;=$C40+ANALYSIS!$G$6)))</f>
        <v>0</v>
      </c>
      <c r="AF40" cm="1">
        <f t="array" ref="AF40">IF(BL40&gt;0,0,SUMPRODUCT((BL$25:BL$124=0)*($B$25:$B$124&gt;=$B40)*($B$25:$B$124&lt;=$B40+ANALYSIS!$G$5)*($C$25:$C$124&gt;=$C40)*($C$25:$C$124&lt;=$C40+ANALYSIS!$G$6)))</f>
        <v>0</v>
      </c>
      <c r="AH40">
        <f>IF(AND(AX40=0,$B40&gt;=R$22,$B40&lt;=R$22+ANALYSIS!$G$5,$C40&gt;=R$23,$C40&lt;=R$23+ANALYSIS!$G$6),1,0)</f>
        <v>0</v>
      </c>
      <c r="AI40">
        <f>IF(AND(AY40=0,$B40&gt;=S$22,$B40&lt;=S$22+ANALYSIS!$G$5,$C40&gt;=S$23,$C40&lt;=S$23+ANALYSIS!$G$6),1,0)</f>
        <v>0</v>
      </c>
      <c r="AJ40">
        <f>IF(AND(AZ40=0,$B40&gt;=T$22,$B40&lt;=T$22+ANALYSIS!$G$5,$C40&gt;=T$23,$C40&lt;=T$23+ANALYSIS!$G$6),1,0)</f>
        <v>0</v>
      </c>
      <c r="AK40">
        <f>IF(AND(BA40=0,$B40&gt;=U$22,$B40&lt;=U$22+ANALYSIS!$G$5,$C40&gt;=U$23,$C40&lt;=U$23+ANALYSIS!$G$6),1,0)</f>
        <v>1</v>
      </c>
      <c r="AL40">
        <f>IF(AND(BB40=0,$B40&gt;=V$22,$B40&lt;=V$22+ANALYSIS!$G$5,$C40&gt;=V$23,$C40&lt;=V$23+ANALYSIS!$G$6),1,0)</f>
        <v>0</v>
      </c>
      <c r="AM40">
        <f>IF(AND(BC40=0,$B40&gt;=W$22,$B40&lt;=W$22+ANALYSIS!$G$5,$C40&gt;=W$23,$C40&lt;=W$23+ANALYSIS!$G$6),1,0)</f>
        <v>0</v>
      </c>
      <c r="AN40">
        <f>IF(AND(BD40=0,$B40&gt;=X$22,$B40&lt;=X$22+ANALYSIS!$G$5,$C40&gt;=X$23,$C40&lt;=X$23+ANALYSIS!$G$6),1,0)</f>
        <v>0</v>
      </c>
      <c r="AO40">
        <f>IF(AND(BE40=0,$B40&gt;=Y$22,$B40&lt;=Y$22+ANALYSIS!$G$5,$C40&gt;=Y$23,$C40&lt;=Y$23+ANALYSIS!$G$6),1,0)</f>
        <v>0</v>
      </c>
      <c r="AP40">
        <f>IF(AND(BF40=0,$B40&gt;=Z$22,$B40&lt;=Z$22+ANALYSIS!$G$5,$C40&gt;=Z$23,$C40&lt;=Z$23+ANALYSIS!$G$6),1,0)</f>
        <v>0</v>
      </c>
      <c r="AQ40">
        <f>IF(AND(BG40=0,$B40&gt;=AA$22,$B40&lt;=AA$22+ANALYSIS!$G$5,$C40&gt;=AA$23,$C40&lt;=AA$23+ANALYSIS!$G$6),1,0)</f>
        <v>0</v>
      </c>
      <c r="AR40">
        <f>IF(AND(BH40=0,$B40&gt;=AB$22,$B40&lt;=AB$22+ANALYSIS!$G$5,$C40&gt;=AB$23,$C40&lt;=AB$23+ANALYSIS!$G$6),1,0)</f>
        <v>0</v>
      </c>
      <c r="AS40">
        <f>IF(AND(BI40=0,$B40&gt;=AC$22,$B40&lt;=AC$22+ANALYSIS!$G$5,$C40&gt;=AC$23,$C40&lt;=AC$23+ANALYSIS!$G$6),1,0)</f>
        <v>0</v>
      </c>
      <c r="AT40">
        <f>IF(AND(BJ40=0,$B40&gt;=AD$22,$B40&lt;=AD$22+ANALYSIS!$G$5,$C40&gt;=AD$23,$C40&lt;=AD$23+ANALYSIS!$G$6),1,0)</f>
        <v>0</v>
      </c>
      <c r="AU40">
        <f>IF(AND(BK40=0,$B40&gt;=AE$22,$B40&lt;=AE$22+ANALYSIS!$G$5,$C40&gt;=AE$23,$C40&lt;=AE$23+ANALYSIS!$G$6),1,0)</f>
        <v>0</v>
      </c>
      <c r="AV40">
        <f>IF(AND(BL40=0,$B40&gt;=AF$22,$B40&lt;=AF$22+ANALYSIS!$G$5,$C40&gt;=AF$23,$C40&lt;=AF$23+ANALYSIS!$G$6),1,0)</f>
        <v>0</v>
      </c>
      <c r="AX40">
        <v>0</v>
      </c>
      <c r="AY40">
        <f t="shared" si="13"/>
        <v>0</v>
      </c>
      <c r="AZ40">
        <f t="shared" si="11"/>
        <v>0</v>
      </c>
      <c r="BA40">
        <f t="shared" si="11"/>
        <v>0</v>
      </c>
      <c r="BB40">
        <f t="shared" si="11"/>
        <v>1</v>
      </c>
      <c r="BC40">
        <f t="shared" si="11"/>
        <v>1</v>
      </c>
      <c r="BD40">
        <f t="shared" si="11"/>
        <v>1</v>
      </c>
      <c r="BE40">
        <f t="shared" si="11"/>
        <v>1</v>
      </c>
      <c r="BF40">
        <f t="shared" si="11"/>
        <v>1</v>
      </c>
      <c r="BG40">
        <f t="shared" si="11"/>
        <v>1</v>
      </c>
      <c r="BH40">
        <f t="shared" si="11"/>
        <v>1</v>
      </c>
      <c r="BI40">
        <f t="shared" si="11"/>
        <v>1</v>
      </c>
      <c r="BJ40">
        <f t="shared" si="11"/>
        <v>1</v>
      </c>
      <c r="BK40">
        <f t="shared" si="11"/>
        <v>1</v>
      </c>
      <c r="BL40">
        <f t="shared" si="11"/>
        <v>1</v>
      </c>
      <c r="BM40">
        <f t="shared" si="11"/>
        <v>1</v>
      </c>
    </row>
    <row r="41" spans="1:65" x14ac:dyDescent="0.25">
      <c r="A41" s="41" t="str">
        <f>ANALYSIS!B47</f>
        <v>19-17</v>
      </c>
      <c r="B41" s="41">
        <f>ANALYSIS!E47</f>
        <v>56.5</v>
      </c>
      <c r="C41" s="41">
        <f>ANALYSIS!G47</f>
        <v>25.22</v>
      </c>
      <c r="D41" s="41">
        <f t="shared" si="12"/>
        <v>3</v>
      </c>
      <c r="R41" cm="1">
        <f t="array" ref="R41">IF(AX41&gt;0,0,SUMPRODUCT((AX$25:AX$124=0)*($B$25:$B$124&gt;=$B41)*($B$25:$B$124&lt;=$B41+ANALYSIS!$G$5)*($C$25:$C$124&gt;=$C41)*($C$25:$C$124&lt;=$C41+ANALYSIS!$G$6)))</f>
        <v>4</v>
      </c>
      <c r="S41" cm="1">
        <f t="array" ref="S41">IF(AY41&gt;0,0,SUMPRODUCT((AY$25:AY$124=0)*($B$25:$B$124&gt;=$B41)*($B$25:$B$124&lt;=$B41+ANALYSIS!$G$5)*($C$25:$C$124&gt;=$C41)*($C$25:$C$124&lt;=$C41+ANALYSIS!$G$6)))</f>
        <v>4</v>
      </c>
      <c r="T41" cm="1">
        <f t="array" ref="T41">IF(AZ41&gt;0,0,SUMPRODUCT((AZ$25:AZ$124=0)*($B$25:$B$124&gt;=$B41)*($B$25:$B$124&lt;=$B41+ANALYSIS!$G$5)*($C$25:$C$124&gt;=$C41)*($C$25:$C$124&lt;=$C41+ANALYSIS!$G$6)))</f>
        <v>4</v>
      </c>
      <c r="U41" cm="1">
        <f t="array" ref="U41">IF(BA41&gt;0,0,SUMPRODUCT((BA$25:BA$124=0)*($B$25:$B$124&gt;=$B41)*($B$25:$B$124&lt;=$B41+ANALYSIS!$G$5)*($C$25:$C$124&gt;=$C41)*($C$25:$C$124&lt;=$C41+ANALYSIS!$G$6)))</f>
        <v>0</v>
      </c>
      <c r="V41" cm="1">
        <f t="array" ref="V41">IF(BB41&gt;0,0,SUMPRODUCT((BB$25:BB$124=0)*($B$25:$B$124&gt;=$B41)*($B$25:$B$124&lt;=$B41+ANALYSIS!$G$5)*($C$25:$C$124&gt;=$C41)*($C$25:$C$124&lt;=$C41+ANALYSIS!$G$6)))</f>
        <v>0</v>
      </c>
      <c r="W41" cm="1">
        <f t="array" ref="W41">IF(BC41&gt;0,0,SUMPRODUCT((BC$25:BC$124=0)*($B$25:$B$124&gt;=$B41)*($B$25:$B$124&lt;=$B41+ANALYSIS!$G$5)*($C$25:$C$124&gt;=$C41)*($C$25:$C$124&lt;=$C41+ANALYSIS!$G$6)))</f>
        <v>0</v>
      </c>
      <c r="X41" cm="1">
        <f t="array" ref="X41">IF(BD41&gt;0,0,SUMPRODUCT((BD$25:BD$124=0)*($B$25:$B$124&gt;=$B41)*($B$25:$B$124&lt;=$B41+ANALYSIS!$G$5)*($C$25:$C$124&gt;=$C41)*($C$25:$C$124&lt;=$C41+ANALYSIS!$G$6)))</f>
        <v>0</v>
      </c>
      <c r="Y41" cm="1">
        <f t="array" ref="Y41">IF(BE41&gt;0,0,SUMPRODUCT((BE$25:BE$124=0)*($B$25:$B$124&gt;=$B41)*($B$25:$B$124&lt;=$B41+ANALYSIS!$G$5)*($C$25:$C$124&gt;=$C41)*($C$25:$C$124&lt;=$C41+ANALYSIS!$G$6)))</f>
        <v>0</v>
      </c>
      <c r="Z41" cm="1">
        <f t="array" ref="Z41">IF(BF41&gt;0,0,SUMPRODUCT((BF$25:BF$124=0)*($B$25:$B$124&gt;=$B41)*($B$25:$B$124&lt;=$B41+ANALYSIS!$G$5)*($C$25:$C$124&gt;=$C41)*($C$25:$C$124&lt;=$C41+ANALYSIS!$G$6)))</f>
        <v>0</v>
      </c>
      <c r="AA41" cm="1">
        <f t="array" ref="AA41">IF(BG41&gt;0,0,SUMPRODUCT((BG$25:BG$124=0)*($B$25:$B$124&gt;=$B41)*($B$25:$B$124&lt;=$B41+ANALYSIS!$G$5)*($C$25:$C$124&gt;=$C41)*($C$25:$C$124&lt;=$C41+ANALYSIS!$G$6)))</f>
        <v>0</v>
      </c>
      <c r="AB41" cm="1">
        <f t="array" ref="AB41">IF(BH41&gt;0,0,SUMPRODUCT((BH$25:BH$124=0)*($B$25:$B$124&gt;=$B41)*($B$25:$B$124&lt;=$B41+ANALYSIS!$G$5)*($C$25:$C$124&gt;=$C41)*($C$25:$C$124&lt;=$C41+ANALYSIS!$G$6)))</f>
        <v>0</v>
      </c>
      <c r="AC41" cm="1">
        <f t="array" ref="AC41">IF(BI41&gt;0,0,SUMPRODUCT((BI$25:BI$124=0)*($B$25:$B$124&gt;=$B41)*($B$25:$B$124&lt;=$B41+ANALYSIS!$G$5)*($C$25:$C$124&gt;=$C41)*($C$25:$C$124&lt;=$C41+ANALYSIS!$G$6)))</f>
        <v>0</v>
      </c>
      <c r="AD41" cm="1">
        <f t="array" ref="AD41">IF(BJ41&gt;0,0,SUMPRODUCT((BJ$25:BJ$124=0)*($B$25:$B$124&gt;=$B41)*($B$25:$B$124&lt;=$B41+ANALYSIS!$G$5)*($C$25:$C$124&gt;=$C41)*($C$25:$C$124&lt;=$C41+ANALYSIS!$G$6)))</f>
        <v>0</v>
      </c>
      <c r="AE41" cm="1">
        <f t="array" ref="AE41">IF(BK41&gt;0,0,SUMPRODUCT((BK$25:BK$124=0)*($B$25:$B$124&gt;=$B41)*($B$25:$B$124&lt;=$B41+ANALYSIS!$G$5)*($C$25:$C$124&gt;=$C41)*($C$25:$C$124&lt;=$C41+ANALYSIS!$G$6)))</f>
        <v>0</v>
      </c>
      <c r="AF41" cm="1">
        <f t="array" ref="AF41">IF(BL41&gt;0,0,SUMPRODUCT((BL$25:BL$124=0)*($B$25:$B$124&gt;=$B41)*($B$25:$B$124&lt;=$B41+ANALYSIS!$G$5)*($C$25:$C$124&gt;=$C41)*($C$25:$C$124&lt;=$C41+ANALYSIS!$G$6)))</f>
        <v>0</v>
      </c>
      <c r="AH41">
        <f>IF(AND(AX41=0,$B41&gt;=R$22,$B41&lt;=R$22+ANALYSIS!$G$5,$C41&gt;=R$23,$C41&lt;=R$23+ANALYSIS!$G$6),1,0)</f>
        <v>0</v>
      </c>
      <c r="AI41">
        <f>IF(AND(AY41=0,$B41&gt;=S$22,$B41&lt;=S$22+ANALYSIS!$G$5,$C41&gt;=S$23,$C41&lt;=S$23+ANALYSIS!$G$6),1,0)</f>
        <v>0</v>
      </c>
      <c r="AJ41">
        <f>IF(AND(AZ41=0,$B41&gt;=T$22,$B41&lt;=T$22+ANALYSIS!$G$5,$C41&gt;=T$23,$C41&lt;=T$23+ANALYSIS!$G$6),1,0)</f>
        <v>1</v>
      </c>
      <c r="AK41">
        <f>IF(AND(BA41=0,$B41&gt;=U$22,$B41&lt;=U$22+ANALYSIS!$G$5,$C41&gt;=U$23,$C41&lt;=U$23+ANALYSIS!$G$6),1,0)</f>
        <v>0</v>
      </c>
      <c r="AL41">
        <f>IF(AND(BB41=0,$B41&gt;=V$22,$B41&lt;=V$22+ANALYSIS!$G$5,$C41&gt;=V$23,$C41&lt;=V$23+ANALYSIS!$G$6),1,0)</f>
        <v>0</v>
      </c>
      <c r="AM41">
        <f>IF(AND(BC41=0,$B41&gt;=W$22,$B41&lt;=W$22+ANALYSIS!$G$5,$C41&gt;=W$23,$C41&lt;=W$23+ANALYSIS!$G$6),1,0)</f>
        <v>0</v>
      </c>
      <c r="AN41">
        <f>IF(AND(BD41=0,$B41&gt;=X$22,$B41&lt;=X$22+ANALYSIS!$G$5,$C41&gt;=X$23,$C41&lt;=X$23+ANALYSIS!$G$6),1,0)</f>
        <v>0</v>
      </c>
      <c r="AO41">
        <f>IF(AND(BE41=0,$B41&gt;=Y$22,$B41&lt;=Y$22+ANALYSIS!$G$5,$C41&gt;=Y$23,$C41&lt;=Y$23+ANALYSIS!$G$6),1,0)</f>
        <v>0</v>
      </c>
      <c r="AP41">
        <f>IF(AND(BF41=0,$B41&gt;=Z$22,$B41&lt;=Z$22+ANALYSIS!$G$5,$C41&gt;=Z$23,$C41&lt;=Z$23+ANALYSIS!$G$6),1,0)</f>
        <v>0</v>
      </c>
      <c r="AQ41">
        <f>IF(AND(BG41=0,$B41&gt;=AA$22,$B41&lt;=AA$22+ANALYSIS!$G$5,$C41&gt;=AA$23,$C41&lt;=AA$23+ANALYSIS!$G$6),1,0)</f>
        <v>0</v>
      </c>
      <c r="AR41">
        <f>IF(AND(BH41=0,$B41&gt;=AB$22,$B41&lt;=AB$22+ANALYSIS!$G$5,$C41&gt;=AB$23,$C41&lt;=AB$23+ANALYSIS!$G$6),1,0)</f>
        <v>0</v>
      </c>
      <c r="AS41">
        <f>IF(AND(BI41=0,$B41&gt;=AC$22,$B41&lt;=AC$22+ANALYSIS!$G$5,$C41&gt;=AC$23,$C41&lt;=AC$23+ANALYSIS!$G$6),1,0)</f>
        <v>0</v>
      </c>
      <c r="AT41">
        <f>IF(AND(BJ41=0,$B41&gt;=AD$22,$B41&lt;=AD$22+ANALYSIS!$G$5,$C41&gt;=AD$23,$C41&lt;=AD$23+ANALYSIS!$G$6),1,0)</f>
        <v>0</v>
      </c>
      <c r="AU41">
        <f>IF(AND(BK41=0,$B41&gt;=AE$22,$B41&lt;=AE$22+ANALYSIS!$G$5,$C41&gt;=AE$23,$C41&lt;=AE$23+ANALYSIS!$G$6),1,0)</f>
        <v>0</v>
      </c>
      <c r="AV41">
        <f>IF(AND(BL41=0,$B41&gt;=AF$22,$B41&lt;=AF$22+ANALYSIS!$G$5,$C41&gt;=AF$23,$C41&lt;=AF$23+ANALYSIS!$G$6),1,0)</f>
        <v>0</v>
      </c>
      <c r="AX41">
        <v>0</v>
      </c>
      <c r="AY41">
        <f t="shared" si="13"/>
        <v>0</v>
      </c>
      <c r="AZ41">
        <f t="shared" ref="AZ41:AZ104" si="14">AY41+AI41</f>
        <v>0</v>
      </c>
      <c r="BA41">
        <f t="shared" ref="BA41:BA104" si="15">AZ41+AJ41</f>
        <v>1</v>
      </c>
      <c r="BB41">
        <f t="shared" ref="BB41:BB104" si="16">BA41+AK41</f>
        <v>1</v>
      </c>
      <c r="BC41">
        <f t="shared" ref="BC41:BC104" si="17">BB41+AL41</f>
        <v>1</v>
      </c>
      <c r="BD41">
        <f t="shared" ref="BD41:BD104" si="18">BC41+AM41</f>
        <v>1</v>
      </c>
      <c r="BE41">
        <f t="shared" ref="BE41:BE104" si="19">BD41+AN41</f>
        <v>1</v>
      </c>
      <c r="BF41">
        <f t="shared" ref="BF41:BF104" si="20">BE41+AO41</f>
        <v>1</v>
      </c>
      <c r="BG41">
        <f t="shared" ref="BG41:BG104" si="21">BF41+AP41</f>
        <v>1</v>
      </c>
      <c r="BH41">
        <f t="shared" ref="BH41:BH104" si="22">BG41+AQ41</f>
        <v>1</v>
      </c>
      <c r="BI41">
        <f t="shared" ref="BI41:BI104" si="23">BH41+AR41</f>
        <v>1</v>
      </c>
      <c r="BJ41">
        <f t="shared" ref="BJ41:BJ104" si="24">BI41+AS41</f>
        <v>1</v>
      </c>
      <c r="BK41">
        <f t="shared" ref="BK41:BK104" si="25">BJ41+AT41</f>
        <v>1</v>
      </c>
      <c r="BL41">
        <f t="shared" ref="BL41:BL104" si="26">BK41+AU41</f>
        <v>1</v>
      </c>
      <c r="BM41">
        <f t="shared" ref="BM41:BM104" si="27">BL41+AV41</f>
        <v>1</v>
      </c>
    </row>
    <row r="42" spans="1:65" x14ac:dyDescent="0.25">
      <c r="A42" s="41" t="str">
        <f>ANALYSIS!B48</f>
        <v>19-18</v>
      </c>
      <c r="B42" s="41">
        <f>ANALYSIS!E48</f>
        <v>52</v>
      </c>
      <c r="C42" s="41">
        <f>ANALYSIS!G48</f>
        <v>21.66</v>
      </c>
      <c r="D42" s="41">
        <f t="shared" si="12"/>
        <v>14</v>
      </c>
      <c r="R42" cm="1">
        <f t="array" ref="R42">IF(AX42&gt;0,0,SUMPRODUCT((AX$25:AX$124=0)*($B$25:$B$124&gt;=$B42)*($B$25:$B$124&lt;=$B42+ANALYSIS!$G$5)*($C$25:$C$124&gt;=$C42)*($C$25:$C$124&lt;=$C42+ANALYSIS!$G$6)))</f>
        <v>4</v>
      </c>
      <c r="S42" cm="1">
        <f t="array" ref="S42">IF(AY42&gt;0,0,SUMPRODUCT((AY$25:AY$124=0)*($B$25:$B$124&gt;=$B42)*($B$25:$B$124&lt;=$B42+ANALYSIS!$G$5)*($C$25:$C$124&gt;=$C42)*($C$25:$C$124&lt;=$C42+ANALYSIS!$G$6)))</f>
        <v>4</v>
      </c>
      <c r="T42" cm="1">
        <f t="array" ref="T42">IF(AZ42&gt;0,0,SUMPRODUCT((AZ$25:AZ$124=0)*($B$25:$B$124&gt;=$B42)*($B$25:$B$124&lt;=$B42+ANALYSIS!$G$5)*($C$25:$C$124&gt;=$C42)*($C$25:$C$124&lt;=$C42+ANALYSIS!$G$6)))</f>
        <v>4</v>
      </c>
      <c r="U42" cm="1">
        <f t="array" ref="U42">IF(BA42&gt;0,0,SUMPRODUCT((BA$25:BA$124=0)*($B$25:$B$124&gt;=$B42)*($B$25:$B$124&lt;=$B42+ANALYSIS!$G$5)*($C$25:$C$124&gt;=$C42)*($C$25:$C$124&lt;=$C42+ANALYSIS!$G$6)))</f>
        <v>4</v>
      </c>
      <c r="V42" cm="1">
        <f t="array" ref="V42">IF(BB42&gt;0,0,SUMPRODUCT((BB$25:BB$124=0)*($B$25:$B$124&gt;=$B42)*($B$25:$B$124&lt;=$B42+ANALYSIS!$G$5)*($C$25:$C$124&gt;=$C42)*($C$25:$C$124&lt;=$C42+ANALYSIS!$G$6)))</f>
        <v>2</v>
      </c>
      <c r="W42" cm="1">
        <f t="array" ref="W42">IF(BC42&gt;0,0,SUMPRODUCT((BC$25:BC$124=0)*($B$25:$B$124&gt;=$B42)*($B$25:$B$124&lt;=$B42+ANALYSIS!$G$5)*($C$25:$C$124&gt;=$C42)*($C$25:$C$124&lt;=$C42+ANALYSIS!$G$6)))</f>
        <v>1</v>
      </c>
      <c r="X42" cm="1">
        <f t="array" ref="X42">IF(BD42&gt;0,0,SUMPRODUCT((BD$25:BD$124=0)*($B$25:$B$124&gt;=$B42)*($B$25:$B$124&lt;=$B42+ANALYSIS!$G$5)*($C$25:$C$124&gt;=$C42)*($C$25:$C$124&lt;=$C42+ANALYSIS!$G$6)))</f>
        <v>1</v>
      </c>
      <c r="Y42" cm="1">
        <f t="array" ref="Y42">IF(BE42&gt;0,0,SUMPRODUCT((BE$25:BE$124=0)*($B$25:$B$124&gt;=$B42)*($B$25:$B$124&lt;=$B42+ANALYSIS!$G$5)*($C$25:$C$124&gt;=$C42)*($C$25:$C$124&lt;=$C42+ANALYSIS!$G$6)))</f>
        <v>1</v>
      </c>
      <c r="Z42" cm="1">
        <f t="array" ref="Z42">IF(BF42&gt;0,0,SUMPRODUCT((BF$25:BF$124=0)*($B$25:$B$124&gt;=$B42)*($B$25:$B$124&lt;=$B42+ANALYSIS!$G$5)*($C$25:$C$124&gt;=$C42)*($C$25:$C$124&lt;=$C42+ANALYSIS!$G$6)))</f>
        <v>1</v>
      </c>
      <c r="AA42" cm="1">
        <f t="array" ref="AA42">IF(BG42&gt;0,0,SUMPRODUCT((BG$25:BG$124=0)*($B$25:$B$124&gt;=$B42)*($B$25:$B$124&lt;=$B42+ANALYSIS!$G$5)*($C$25:$C$124&gt;=$C42)*($C$25:$C$124&lt;=$C42+ANALYSIS!$G$6)))</f>
        <v>1</v>
      </c>
      <c r="AB42" cm="1">
        <f t="array" ref="AB42">IF(BH42&gt;0,0,SUMPRODUCT((BH$25:BH$124=0)*($B$25:$B$124&gt;=$B42)*($B$25:$B$124&lt;=$B42+ANALYSIS!$G$5)*($C$25:$C$124&gt;=$C42)*($C$25:$C$124&lt;=$C42+ANALYSIS!$G$6)))</f>
        <v>1</v>
      </c>
      <c r="AC42" cm="1">
        <f t="array" ref="AC42">IF(BI42&gt;0,0,SUMPRODUCT((BI$25:BI$124=0)*($B$25:$B$124&gt;=$B42)*($B$25:$B$124&lt;=$B42+ANALYSIS!$G$5)*($C$25:$C$124&gt;=$C42)*($C$25:$C$124&lt;=$C42+ANALYSIS!$G$6)))</f>
        <v>1</v>
      </c>
      <c r="AD42" cm="1">
        <f t="array" ref="AD42">IF(BJ42&gt;0,0,SUMPRODUCT((BJ$25:BJ$124=0)*($B$25:$B$124&gt;=$B42)*($B$25:$B$124&lt;=$B42+ANALYSIS!$G$5)*($C$25:$C$124&gt;=$C42)*($C$25:$C$124&lt;=$C42+ANALYSIS!$G$6)))</f>
        <v>1</v>
      </c>
      <c r="AE42" cm="1">
        <f t="array" ref="AE42">IF(BK42&gt;0,0,SUMPRODUCT((BK$25:BK$124=0)*($B$25:$B$124&gt;=$B42)*($B$25:$B$124&lt;=$B42+ANALYSIS!$G$5)*($C$25:$C$124&gt;=$C42)*($C$25:$C$124&lt;=$C42+ANALYSIS!$G$6)))</f>
        <v>1</v>
      </c>
      <c r="AF42" cm="1">
        <f t="array" ref="AF42">IF(BL42&gt;0,0,SUMPRODUCT((BL$25:BL$124=0)*($B$25:$B$124&gt;=$B42)*($B$25:$B$124&lt;=$B42+ANALYSIS!$G$5)*($C$25:$C$124&gt;=$C42)*($C$25:$C$124&lt;=$C42+ANALYSIS!$G$6)))</f>
        <v>0</v>
      </c>
      <c r="AH42">
        <f>IF(AND(AX42=0,$B42&gt;=R$22,$B42&lt;=R$22+ANALYSIS!$G$5,$C42&gt;=R$23,$C42&lt;=R$23+ANALYSIS!$G$6),1,0)</f>
        <v>0</v>
      </c>
      <c r="AI42">
        <f>IF(AND(AY42=0,$B42&gt;=S$22,$B42&lt;=S$22+ANALYSIS!$G$5,$C42&gt;=S$23,$C42&lt;=S$23+ANALYSIS!$G$6),1,0)</f>
        <v>0</v>
      </c>
      <c r="AJ42">
        <f>IF(AND(AZ42=0,$B42&gt;=T$22,$B42&lt;=T$22+ANALYSIS!$G$5,$C42&gt;=T$23,$C42&lt;=T$23+ANALYSIS!$G$6),1,0)</f>
        <v>0</v>
      </c>
      <c r="AK42">
        <f>IF(AND(BA42=0,$B42&gt;=U$22,$B42&lt;=U$22+ANALYSIS!$G$5,$C42&gt;=U$23,$C42&lt;=U$23+ANALYSIS!$G$6),1,0)</f>
        <v>0</v>
      </c>
      <c r="AL42">
        <f>IF(AND(BB42=0,$B42&gt;=V$22,$B42&lt;=V$22+ANALYSIS!$G$5,$C42&gt;=V$23,$C42&lt;=V$23+ANALYSIS!$G$6),1,0)</f>
        <v>0</v>
      </c>
      <c r="AM42">
        <f>IF(AND(BC42=0,$B42&gt;=W$22,$B42&lt;=W$22+ANALYSIS!$G$5,$C42&gt;=W$23,$C42&lt;=W$23+ANALYSIS!$G$6),1,0)</f>
        <v>0</v>
      </c>
      <c r="AN42">
        <f>IF(AND(BD42=0,$B42&gt;=X$22,$B42&lt;=X$22+ANALYSIS!$G$5,$C42&gt;=X$23,$C42&lt;=X$23+ANALYSIS!$G$6),1,0)</f>
        <v>0</v>
      </c>
      <c r="AO42">
        <f>IF(AND(BE42=0,$B42&gt;=Y$22,$B42&lt;=Y$22+ANALYSIS!$G$5,$C42&gt;=Y$23,$C42&lt;=Y$23+ANALYSIS!$G$6),1,0)</f>
        <v>0</v>
      </c>
      <c r="AP42">
        <f>IF(AND(BF42=0,$B42&gt;=Z$22,$B42&lt;=Z$22+ANALYSIS!$G$5,$C42&gt;=Z$23,$C42&lt;=Z$23+ANALYSIS!$G$6),1,0)</f>
        <v>0</v>
      </c>
      <c r="AQ42">
        <f>IF(AND(BG42=0,$B42&gt;=AA$22,$B42&lt;=AA$22+ANALYSIS!$G$5,$C42&gt;=AA$23,$C42&lt;=AA$23+ANALYSIS!$G$6),1,0)</f>
        <v>0</v>
      </c>
      <c r="AR42">
        <f>IF(AND(BH42=0,$B42&gt;=AB$22,$B42&lt;=AB$22+ANALYSIS!$G$5,$C42&gt;=AB$23,$C42&lt;=AB$23+ANALYSIS!$G$6),1,0)</f>
        <v>0</v>
      </c>
      <c r="AS42">
        <f>IF(AND(BI42=0,$B42&gt;=AC$22,$B42&lt;=AC$22+ANALYSIS!$G$5,$C42&gt;=AC$23,$C42&lt;=AC$23+ANALYSIS!$G$6),1,0)</f>
        <v>0</v>
      </c>
      <c r="AT42">
        <f>IF(AND(BJ42=0,$B42&gt;=AD$22,$B42&lt;=AD$22+ANALYSIS!$G$5,$C42&gt;=AD$23,$C42&lt;=AD$23+ANALYSIS!$G$6),1,0)</f>
        <v>0</v>
      </c>
      <c r="AU42">
        <f>IF(AND(BK42=0,$B42&gt;=AE$22,$B42&lt;=AE$22+ANALYSIS!$G$5,$C42&gt;=AE$23,$C42&lt;=AE$23+ANALYSIS!$G$6),1,0)</f>
        <v>1</v>
      </c>
      <c r="AV42">
        <f>IF(AND(BL42=0,$B42&gt;=AF$22,$B42&lt;=AF$22+ANALYSIS!$G$5,$C42&gt;=AF$23,$C42&lt;=AF$23+ANALYSIS!$G$6),1,0)</f>
        <v>0</v>
      </c>
      <c r="AX42">
        <v>0</v>
      </c>
      <c r="AY42">
        <f t="shared" si="13"/>
        <v>0</v>
      </c>
      <c r="AZ42">
        <f t="shared" si="14"/>
        <v>0</v>
      </c>
      <c r="BA42">
        <f t="shared" si="15"/>
        <v>0</v>
      </c>
      <c r="BB42">
        <f t="shared" si="16"/>
        <v>0</v>
      </c>
      <c r="BC42">
        <f t="shared" si="17"/>
        <v>0</v>
      </c>
      <c r="BD42">
        <f t="shared" si="18"/>
        <v>0</v>
      </c>
      <c r="BE42">
        <f t="shared" si="19"/>
        <v>0</v>
      </c>
      <c r="BF42">
        <f t="shared" si="20"/>
        <v>0</v>
      </c>
      <c r="BG42">
        <f t="shared" si="21"/>
        <v>0</v>
      </c>
      <c r="BH42">
        <f t="shared" si="22"/>
        <v>0</v>
      </c>
      <c r="BI42">
        <f t="shared" si="23"/>
        <v>0</v>
      </c>
      <c r="BJ42">
        <f t="shared" si="24"/>
        <v>0</v>
      </c>
      <c r="BK42">
        <f t="shared" si="25"/>
        <v>0</v>
      </c>
      <c r="BL42">
        <f t="shared" si="26"/>
        <v>1</v>
      </c>
      <c r="BM42">
        <f t="shared" si="27"/>
        <v>1</v>
      </c>
    </row>
    <row r="43" spans="1:65" x14ac:dyDescent="0.25">
      <c r="A43" s="41" t="str">
        <f>ANALYSIS!B49</f>
        <v>19-19</v>
      </c>
      <c r="B43" s="41">
        <f>ANALYSIS!E49</f>
        <v>55.5</v>
      </c>
      <c r="C43" s="41">
        <f>ANALYSIS!G49</f>
        <v>21.7</v>
      </c>
      <c r="D43" s="41">
        <f t="shared" si="12"/>
        <v>4</v>
      </c>
      <c r="R43" cm="1">
        <f t="array" ref="R43">IF(AX43&gt;0,0,SUMPRODUCT((AX$25:AX$124=0)*($B$25:$B$124&gt;=$B43)*($B$25:$B$124&lt;=$B43+ANALYSIS!$G$5)*($C$25:$C$124&gt;=$C43)*($C$25:$C$124&lt;=$C43+ANALYSIS!$G$6)))</f>
        <v>4</v>
      </c>
      <c r="S43" cm="1">
        <f t="array" ref="S43">IF(AY43&gt;0,0,SUMPRODUCT((AY$25:AY$124=0)*($B$25:$B$124&gt;=$B43)*($B$25:$B$124&lt;=$B43+ANALYSIS!$G$5)*($C$25:$C$124&gt;=$C43)*($C$25:$C$124&lt;=$C43+ANALYSIS!$G$6)))</f>
        <v>4</v>
      </c>
      <c r="T43" cm="1">
        <f t="array" ref="T43">IF(AZ43&gt;0,0,SUMPRODUCT((AZ$25:AZ$124=0)*($B$25:$B$124&gt;=$B43)*($B$25:$B$124&lt;=$B43+ANALYSIS!$G$5)*($C$25:$C$124&gt;=$C43)*($C$25:$C$124&lt;=$C43+ANALYSIS!$G$6)))</f>
        <v>4</v>
      </c>
      <c r="U43" cm="1">
        <f t="array" ref="U43">IF(BA43&gt;0,0,SUMPRODUCT((BA$25:BA$124=0)*($B$25:$B$124&gt;=$B43)*($B$25:$B$124&lt;=$B43+ANALYSIS!$G$5)*($C$25:$C$124&gt;=$C43)*($C$25:$C$124&lt;=$C43+ANALYSIS!$G$6)))</f>
        <v>4</v>
      </c>
      <c r="V43" cm="1">
        <f t="array" ref="V43">IF(BB43&gt;0,0,SUMPRODUCT((BB$25:BB$124=0)*($B$25:$B$124&gt;=$B43)*($B$25:$B$124&lt;=$B43+ANALYSIS!$G$5)*($C$25:$C$124&gt;=$C43)*($C$25:$C$124&lt;=$C43+ANALYSIS!$G$6)))</f>
        <v>0</v>
      </c>
      <c r="W43" cm="1">
        <f t="array" ref="W43">IF(BC43&gt;0,0,SUMPRODUCT((BC$25:BC$124=0)*($B$25:$B$124&gt;=$B43)*($B$25:$B$124&lt;=$B43+ANALYSIS!$G$5)*($C$25:$C$124&gt;=$C43)*($C$25:$C$124&lt;=$C43+ANALYSIS!$G$6)))</f>
        <v>0</v>
      </c>
      <c r="X43" cm="1">
        <f t="array" ref="X43">IF(BD43&gt;0,0,SUMPRODUCT((BD$25:BD$124=0)*($B$25:$B$124&gt;=$B43)*($B$25:$B$124&lt;=$B43+ANALYSIS!$G$5)*($C$25:$C$124&gt;=$C43)*($C$25:$C$124&lt;=$C43+ANALYSIS!$G$6)))</f>
        <v>0</v>
      </c>
      <c r="Y43" cm="1">
        <f t="array" ref="Y43">IF(BE43&gt;0,0,SUMPRODUCT((BE$25:BE$124=0)*($B$25:$B$124&gt;=$B43)*($B$25:$B$124&lt;=$B43+ANALYSIS!$G$5)*($C$25:$C$124&gt;=$C43)*($C$25:$C$124&lt;=$C43+ANALYSIS!$G$6)))</f>
        <v>0</v>
      </c>
      <c r="Z43" cm="1">
        <f t="array" ref="Z43">IF(BF43&gt;0,0,SUMPRODUCT((BF$25:BF$124=0)*($B$25:$B$124&gt;=$B43)*($B$25:$B$124&lt;=$B43+ANALYSIS!$G$5)*($C$25:$C$124&gt;=$C43)*($C$25:$C$124&lt;=$C43+ANALYSIS!$G$6)))</f>
        <v>0</v>
      </c>
      <c r="AA43" cm="1">
        <f t="array" ref="AA43">IF(BG43&gt;0,0,SUMPRODUCT((BG$25:BG$124=0)*($B$25:$B$124&gt;=$B43)*($B$25:$B$124&lt;=$B43+ANALYSIS!$G$5)*($C$25:$C$124&gt;=$C43)*($C$25:$C$124&lt;=$C43+ANALYSIS!$G$6)))</f>
        <v>0</v>
      </c>
      <c r="AB43" cm="1">
        <f t="array" ref="AB43">IF(BH43&gt;0,0,SUMPRODUCT((BH$25:BH$124=0)*($B$25:$B$124&gt;=$B43)*($B$25:$B$124&lt;=$B43+ANALYSIS!$G$5)*($C$25:$C$124&gt;=$C43)*($C$25:$C$124&lt;=$C43+ANALYSIS!$G$6)))</f>
        <v>0</v>
      </c>
      <c r="AC43" cm="1">
        <f t="array" ref="AC43">IF(BI43&gt;0,0,SUMPRODUCT((BI$25:BI$124=0)*($B$25:$B$124&gt;=$B43)*($B$25:$B$124&lt;=$B43+ANALYSIS!$G$5)*($C$25:$C$124&gt;=$C43)*($C$25:$C$124&lt;=$C43+ANALYSIS!$G$6)))</f>
        <v>0</v>
      </c>
      <c r="AD43" cm="1">
        <f t="array" ref="AD43">IF(BJ43&gt;0,0,SUMPRODUCT((BJ$25:BJ$124=0)*($B$25:$B$124&gt;=$B43)*($B$25:$B$124&lt;=$B43+ANALYSIS!$G$5)*($C$25:$C$124&gt;=$C43)*($C$25:$C$124&lt;=$C43+ANALYSIS!$G$6)))</f>
        <v>0</v>
      </c>
      <c r="AE43" cm="1">
        <f t="array" ref="AE43">IF(BK43&gt;0,0,SUMPRODUCT((BK$25:BK$124=0)*($B$25:$B$124&gt;=$B43)*($B$25:$B$124&lt;=$B43+ANALYSIS!$G$5)*($C$25:$C$124&gt;=$C43)*($C$25:$C$124&lt;=$C43+ANALYSIS!$G$6)))</f>
        <v>0</v>
      </c>
      <c r="AF43" cm="1">
        <f t="array" ref="AF43">IF(BL43&gt;0,0,SUMPRODUCT((BL$25:BL$124=0)*($B$25:$B$124&gt;=$B43)*($B$25:$B$124&lt;=$B43+ANALYSIS!$G$5)*($C$25:$C$124&gt;=$C43)*($C$25:$C$124&lt;=$C43+ANALYSIS!$G$6)))</f>
        <v>0</v>
      </c>
      <c r="AH43">
        <f>IF(AND(AX43=0,$B43&gt;=R$22,$B43&lt;=R$22+ANALYSIS!$G$5,$C43&gt;=R$23,$C43&lt;=R$23+ANALYSIS!$G$6),1,0)</f>
        <v>0</v>
      </c>
      <c r="AI43">
        <f>IF(AND(AY43=0,$B43&gt;=S$22,$B43&lt;=S$22+ANALYSIS!$G$5,$C43&gt;=S$23,$C43&lt;=S$23+ANALYSIS!$G$6),1,0)</f>
        <v>0</v>
      </c>
      <c r="AJ43">
        <f>IF(AND(AZ43=0,$B43&gt;=T$22,$B43&lt;=T$22+ANALYSIS!$G$5,$C43&gt;=T$23,$C43&lt;=T$23+ANALYSIS!$G$6),1,0)</f>
        <v>0</v>
      </c>
      <c r="AK43">
        <f>IF(AND(BA43=0,$B43&gt;=U$22,$B43&lt;=U$22+ANALYSIS!$G$5,$C43&gt;=U$23,$C43&lt;=U$23+ANALYSIS!$G$6),1,0)</f>
        <v>1</v>
      </c>
      <c r="AL43">
        <f>IF(AND(BB43=0,$B43&gt;=V$22,$B43&lt;=V$22+ANALYSIS!$G$5,$C43&gt;=V$23,$C43&lt;=V$23+ANALYSIS!$G$6),1,0)</f>
        <v>0</v>
      </c>
      <c r="AM43">
        <f>IF(AND(BC43=0,$B43&gt;=W$22,$B43&lt;=W$22+ANALYSIS!$G$5,$C43&gt;=W$23,$C43&lt;=W$23+ANALYSIS!$G$6),1,0)</f>
        <v>0</v>
      </c>
      <c r="AN43">
        <f>IF(AND(BD43=0,$B43&gt;=X$22,$B43&lt;=X$22+ANALYSIS!$G$5,$C43&gt;=X$23,$C43&lt;=X$23+ANALYSIS!$G$6),1,0)</f>
        <v>0</v>
      </c>
      <c r="AO43">
        <f>IF(AND(BE43=0,$B43&gt;=Y$22,$B43&lt;=Y$22+ANALYSIS!$G$5,$C43&gt;=Y$23,$C43&lt;=Y$23+ANALYSIS!$G$6),1,0)</f>
        <v>0</v>
      </c>
      <c r="AP43">
        <f>IF(AND(BF43=0,$B43&gt;=Z$22,$B43&lt;=Z$22+ANALYSIS!$G$5,$C43&gt;=Z$23,$C43&lt;=Z$23+ANALYSIS!$G$6),1,0)</f>
        <v>0</v>
      </c>
      <c r="AQ43">
        <f>IF(AND(BG43=0,$B43&gt;=AA$22,$B43&lt;=AA$22+ANALYSIS!$G$5,$C43&gt;=AA$23,$C43&lt;=AA$23+ANALYSIS!$G$6),1,0)</f>
        <v>0</v>
      </c>
      <c r="AR43">
        <f>IF(AND(BH43=0,$B43&gt;=AB$22,$B43&lt;=AB$22+ANALYSIS!$G$5,$C43&gt;=AB$23,$C43&lt;=AB$23+ANALYSIS!$G$6),1,0)</f>
        <v>0</v>
      </c>
      <c r="AS43">
        <f>IF(AND(BI43=0,$B43&gt;=AC$22,$B43&lt;=AC$22+ANALYSIS!$G$5,$C43&gt;=AC$23,$C43&lt;=AC$23+ANALYSIS!$G$6),1,0)</f>
        <v>0</v>
      </c>
      <c r="AT43">
        <f>IF(AND(BJ43=0,$B43&gt;=AD$22,$B43&lt;=AD$22+ANALYSIS!$G$5,$C43&gt;=AD$23,$C43&lt;=AD$23+ANALYSIS!$G$6),1,0)</f>
        <v>0</v>
      </c>
      <c r="AU43">
        <f>IF(AND(BK43=0,$B43&gt;=AE$22,$B43&lt;=AE$22+ANALYSIS!$G$5,$C43&gt;=AE$23,$C43&lt;=AE$23+ANALYSIS!$G$6),1,0)</f>
        <v>0</v>
      </c>
      <c r="AV43">
        <f>IF(AND(BL43=0,$B43&gt;=AF$22,$B43&lt;=AF$22+ANALYSIS!$G$5,$C43&gt;=AF$23,$C43&lt;=AF$23+ANALYSIS!$G$6),1,0)</f>
        <v>0</v>
      </c>
      <c r="AX43">
        <v>0</v>
      </c>
      <c r="AY43">
        <f t="shared" si="13"/>
        <v>0</v>
      </c>
      <c r="AZ43">
        <f t="shared" si="14"/>
        <v>0</v>
      </c>
      <c r="BA43">
        <f t="shared" si="15"/>
        <v>0</v>
      </c>
      <c r="BB43">
        <f t="shared" si="16"/>
        <v>1</v>
      </c>
      <c r="BC43">
        <f t="shared" si="17"/>
        <v>1</v>
      </c>
      <c r="BD43">
        <f t="shared" si="18"/>
        <v>1</v>
      </c>
      <c r="BE43">
        <f t="shared" si="19"/>
        <v>1</v>
      </c>
      <c r="BF43">
        <f t="shared" si="20"/>
        <v>1</v>
      </c>
      <c r="BG43">
        <f t="shared" si="21"/>
        <v>1</v>
      </c>
      <c r="BH43">
        <f t="shared" si="22"/>
        <v>1</v>
      </c>
      <c r="BI43">
        <f t="shared" si="23"/>
        <v>1</v>
      </c>
      <c r="BJ43">
        <f t="shared" si="24"/>
        <v>1</v>
      </c>
      <c r="BK43">
        <f t="shared" si="25"/>
        <v>1</v>
      </c>
      <c r="BL43">
        <f t="shared" si="26"/>
        <v>1</v>
      </c>
      <c r="BM43">
        <f t="shared" si="27"/>
        <v>1</v>
      </c>
    </row>
    <row r="44" spans="1:65" x14ac:dyDescent="0.25">
      <c r="A44" s="41" t="str">
        <f>ANALYSIS!B50</f>
        <v>19-20</v>
      </c>
      <c r="B44" s="41">
        <f>ANALYSIS!E50</f>
        <v>55</v>
      </c>
      <c r="C44" s="41">
        <f>ANALYSIS!G50</f>
        <v>22.98</v>
      </c>
      <c r="D44" s="41">
        <f t="shared" si="12"/>
        <v>7</v>
      </c>
      <c r="R44" cm="1">
        <f t="array" ref="R44">IF(AX44&gt;0,0,SUMPRODUCT((AX$25:AX$124=0)*($B$25:$B$124&gt;=$B44)*($B$25:$B$124&lt;=$B44+ANALYSIS!$G$5)*($C$25:$C$124&gt;=$C44)*($C$25:$C$124&lt;=$C44+ANALYSIS!$G$6)))</f>
        <v>10</v>
      </c>
      <c r="S44" cm="1">
        <f t="array" ref="S44">IF(AY44&gt;0,0,SUMPRODUCT((AY$25:AY$124=0)*($B$25:$B$124&gt;=$B44)*($B$25:$B$124&lt;=$B44+ANALYSIS!$G$5)*($C$25:$C$124&gt;=$C44)*($C$25:$C$124&lt;=$C44+ANALYSIS!$G$6)))</f>
        <v>10</v>
      </c>
      <c r="T44" cm="1">
        <f t="array" ref="T44">IF(AZ44&gt;0,0,SUMPRODUCT((AZ$25:AZ$124=0)*($B$25:$B$124&gt;=$B44)*($B$25:$B$124&lt;=$B44+ANALYSIS!$G$5)*($C$25:$C$124&gt;=$C44)*($C$25:$C$124&lt;=$C44+ANALYSIS!$G$6)))</f>
        <v>4</v>
      </c>
      <c r="U44" cm="1">
        <f t="array" ref="U44">IF(BA44&gt;0,0,SUMPRODUCT((BA$25:BA$124=0)*($B$25:$B$124&gt;=$B44)*($B$25:$B$124&lt;=$B44+ANALYSIS!$G$5)*($C$25:$C$124&gt;=$C44)*($C$25:$C$124&lt;=$C44+ANALYSIS!$G$6)))</f>
        <v>4</v>
      </c>
      <c r="V44" cm="1">
        <f t="array" ref="V44">IF(BB44&gt;0,0,SUMPRODUCT((BB$25:BB$124=0)*($B$25:$B$124&gt;=$B44)*($B$25:$B$124&lt;=$B44+ANALYSIS!$G$5)*($C$25:$C$124&gt;=$C44)*($C$25:$C$124&lt;=$C44+ANALYSIS!$G$6)))</f>
        <v>4</v>
      </c>
      <c r="W44" cm="1">
        <f t="array" ref="W44">IF(BC44&gt;0,0,SUMPRODUCT((BC$25:BC$124=0)*($B$25:$B$124&gt;=$B44)*($B$25:$B$124&lt;=$B44+ANALYSIS!$G$5)*($C$25:$C$124&gt;=$C44)*($C$25:$C$124&lt;=$C44+ANALYSIS!$G$6)))</f>
        <v>4</v>
      </c>
      <c r="X44" cm="1">
        <f t="array" ref="X44">IF(BD44&gt;0,0,SUMPRODUCT((BD$25:BD$124=0)*($B$25:$B$124&gt;=$B44)*($B$25:$B$124&lt;=$B44+ANALYSIS!$G$5)*($C$25:$C$124&gt;=$C44)*($C$25:$C$124&lt;=$C44+ANALYSIS!$G$6)))</f>
        <v>4</v>
      </c>
      <c r="Y44" cm="1">
        <f t="array" ref="Y44">IF(BE44&gt;0,0,SUMPRODUCT((BE$25:BE$124=0)*($B$25:$B$124&gt;=$B44)*($B$25:$B$124&lt;=$B44+ANALYSIS!$G$5)*($C$25:$C$124&gt;=$C44)*($C$25:$C$124&lt;=$C44+ANALYSIS!$G$6)))</f>
        <v>0</v>
      </c>
      <c r="Z44" cm="1">
        <f t="array" ref="Z44">IF(BF44&gt;0,0,SUMPRODUCT((BF$25:BF$124=0)*($B$25:$B$124&gt;=$B44)*($B$25:$B$124&lt;=$B44+ANALYSIS!$G$5)*($C$25:$C$124&gt;=$C44)*($C$25:$C$124&lt;=$C44+ANALYSIS!$G$6)))</f>
        <v>0</v>
      </c>
      <c r="AA44" cm="1">
        <f t="array" ref="AA44">IF(BG44&gt;0,0,SUMPRODUCT((BG$25:BG$124=0)*($B$25:$B$124&gt;=$B44)*($B$25:$B$124&lt;=$B44+ANALYSIS!$G$5)*($C$25:$C$124&gt;=$C44)*($C$25:$C$124&lt;=$C44+ANALYSIS!$G$6)))</f>
        <v>0</v>
      </c>
      <c r="AB44" cm="1">
        <f t="array" ref="AB44">IF(BH44&gt;0,0,SUMPRODUCT((BH$25:BH$124=0)*($B$25:$B$124&gt;=$B44)*($B$25:$B$124&lt;=$B44+ANALYSIS!$G$5)*($C$25:$C$124&gt;=$C44)*($C$25:$C$124&lt;=$C44+ANALYSIS!$G$6)))</f>
        <v>0</v>
      </c>
      <c r="AC44" cm="1">
        <f t="array" ref="AC44">IF(BI44&gt;0,0,SUMPRODUCT((BI$25:BI$124=0)*($B$25:$B$124&gt;=$B44)*($B$25:$B$124&lt;=$B44+ANALYSIS!$G$5)*($C$25:$C$124&gt;=$C44)*($C$25:$C$124&lt;=$C44+ANALYSIS!$G$6)))</f>
        <v>0</v>
      </c>
      <c r="AD44" cm="1">
        <f t="array" ref="AD44">IF(BJ44&gt;0,0,SUMPRODUCT((BJ$25:BJ$124=0)*($B$25:$B$124&gt;=$B44)*($B$25:$B$124&lt;=$B44+ANALYSIS!$G$5)*($C$25:$C$124&gt;=$C44)*($C$25:$C$124&lt;=$C44+ANALYSIS!$G$6)))</f>
        <v>0</v>
      </c>
      <c r="AE44" cm="1">
        <f t="array" ref="AE44">IF(BK44&gt;0,0,SUMPRODUCT((BK$25:BK$124=0)*($B$25:$B$124&gt;=$B44)*($B$25:$B$124&lt;=$B44+ANALYSIS!$G$5)*($C$25:$C$124&gt;=$C44)*($C$25:$C$124&lt;=$C44+ANALYSIS!$G$6)))</f>
        <v>0</v>
      </c>
      <c r="AF44" cm="1">
        <f t="array" ref="AF44">IF(BL44&gt;0,0,SUMPRODUCT((BL$25:BL$124=0)*($B$25:$B$124&gt;=$B44)*($B$25:$B$124&lt;=$B44+ANALYSIS!$G$5)*($C$25:$C$124&gt;=$C44)*($C$25:$C$124&lt;=$C44+ANALYSIS!$G$6)))</f>
        <v>0</v>
      </c>
      <c r="AH44">
        <f>IF(AND(AX44=0,$B44&gt;=R$22,$B44&lt;=R$22+ANALYSIS!$G$5,$C44&gt;=R$23,$C44&lt;=R$23+ANALYSIS!$G$6),1,0)</f>
        <v>0</v>
      </c>
      <c r="AI44">
        <f>IF(AND(AY44=0,$B44&gt;=S$22,$B44&lt;=S$22+ANALYSIS!$G$5,$C44&gt;=S$23,$C44&lt;=S$23+ANALYSIS!$G$6),1,0)</f>
        <v>0</v>
      </c>
      <c r="AJ44">
        <f>IF(AND(AZ44=0,$B44&gt;=T$22,$B44&lt;=T$22+ANALYSIS!$G$5,$C44&gt;=T$23,$C44&lt;=T$23+ANALYSIS!$G$6),1,0)</f>
        <v>0</v>
      </c>
      <c r="AK44">
        <f>IF(AND(BA44=0,$B44&gt;=U$22,$B44&lt;=U$22+ANALYSIS!$G$5,$C44&gt;=U$23,$C44&lt;=U$23+ANALYSIS!$G$6),1,0)</f>
        <v>0</v>
      </c>
      <c r="AL44">
        <f>IF(AND(BB44=0,$B44&gt;=V$22,$B44&lt;=V$22+ANALYSIS!$G$5,$C44&gt;=V$23,$C44&lt;=V$23+ANALYSIS!$G$6),1,0)</f>
        <v>0</v>
      </c>
      <c r="AM44">
        <f>IF(AND(BC44=0,$B44&gt;=W$22,$B44&lt;=W$22+ANALYSIS!$G$5,$C44&gt;=W$23,$C44&lt;=W$23+ANALYSIS!$G$6),1,0)</f>
        <v>0</v>
      </c>
      <c r="AN44">
        <f>IF(AND(BD44=0,$B44&gt;=X$22,$B44&lt;=X$22+ANALYSIS!$G$5,$C44&gt;=X$23,$C44&lt;=X$23+ANALYSIS!$G$6),1,0)</f>
        <v>1</v>
      </c>
      <c r="AO44">
        <f>IF(AND(BE44=0,$B44&gt;=Y$22,$B44&lt;=Y$22+ANALYSIS!$G$5,$C44&gt;=Y$23,$C44&lt;=Y$23+ANALYSIS!$G$6),1,0)</f>
        <v>0</v>
      </c>
      <c r="AP44">
        <f>IF(AND(BF44=0,$B44&gt;=Z$22,$B44&lt;=Z$22+ANALYSIS!$G$5,$C44&gt;=Z$23,$C44&lt;=Z$23+ANALYSIS!$G$6),1,0)</f>
        <v>0</v>
      </c>
      <c r="AQ44">
        <f>IF(AND(BG44=0,$B44&gt;=AA$22,$B44&lt;=AA$22+ANALYSIS!$G$5,$C44&gt;=AA$23,$C44&lt;=AA$23+ANALYSIS!$G$6),1,0)</f>
        <v>0</v>
      </c>
      <c r="AR44">
        <f>IF(AND(BH44=0,$B44&gt;=AB$22,$B44&lt;=AB$22+ANALYSIS!$G$5,$C44&gt;=AB$23,$C44&lt;=AB$23+ANALYSIS!$G$6),1,0)</f>
        <v>0</v>
      </c>
      <c r="AS44">
        <f>IF(AND(BI44=0,$B44&gt;=AC$22,$B44&lt;=AC$22+ANALYSIS!$G$5,$C44&gt;=AC$23,$C44&lt;=AC$23+ANALYSIS!$G$6),1,0)</f>
        <v>0</v>
      </c>
      <c r="AT44">
        <f>IF(AND(BJ44=0,$B44&gt;=AD$22,$B44&lt;=AD$22+ANALYSIS!$G$5,$C44&gt;=AD$23,$C44&lt;=AD$23+ANALYSIS!$G$6),1,0)</f>
        <v>0</v>
      </c>
      <c r="AU44">
        <f>IF(AND(BK44=0,$B44&gt;=AE$22,$B44&lt;=AE$22+ANALYSIS!$G$5,$C44&gt;=AE$23,$C44&lt;=AE$23+ANALYSIS!$G$6),1,0)</f>
        <v>0</v>
      </c>
      <c r="AV44">
        <f>IF(AND(BL44=0,$B44&gt;=AF$22,$B44&lt;=AF$22+ANALYSIS!$G$5,$C44&gt;=AF$23,$C44&lt;=AF$23+ANALYSIS!$G$6),1,0)</f>
        <v>0</v>
      </c>
      <c r="AX44">
        <v>0</v>
      </c>
      <c r="AY44">
        <f t="shared" si="13"/>
        <v>0</v>
      </c>
      <c r="AZ44">
        <f t="shared" si="14"/>
        <v>0</v>
      </c>
      <c r="BA44">
        <f t="shared" si="15"/>
        <v>0</v>
      </c>
      <c r="BB44">
        <f t="shared" si="16"/>
        <v>0</v>
      </c>
      <c r="BC44">
        <f t="shared" si="17"/>
        <v>0</v>
      </c>
      <c r="BD44">
        <f t="shared" si="18"/>
        <v>0</v>
      </c>
      <c r="BE44">
        <f t="shared" si="19"/>
        <v>1</v>
      </c>
      <c r="BF44">
        <f t="shared" si="20"/>
        <v>1</v>
      </c>
      <c r="BG44">
        <f t="shared" si="21"/>
        <v>1</v>
      </c>
      <c r="BH44">
        <f t="shared" si="22"/>
        <v>1</v>
      </c>
      <c r="BI44">
        <f t="shared" si="23"/>
        <v>1</v>
      </c>
      <c r="BJ44">
        <f t="shared" si="24"/>
        <v>1</v>
      </c>
      <c r="BK44">
        <f t="shared" si="25"/>
        <v>1</v>
      </c>
      <c r="BL44">
        <f t="shared" si="26"/>
        <v>1</v>
      </c>
      <c r="BM44">
        <f t="shared" si="27"/>
        <v>1</v>
      </c>
    </row>
    <row r="45" spans="1:65" x14ac:dyDescent="0.25">
      <c r="A45" s="41" t="str">
        <f>ANALYSIS!B51</f>
        <v>19-21</v>
      </c>
      <c r="B45" s="41">
        <f>ANALYSIS!E51</f>
        <v>56</v>
      </c>
      <c r="C45" s="41">
        <f>ANALYSIS!G51</f>
        <v>25.62</v>
      </c>
      <c r="D45" s="41">
        <f t="shared" si="12"/>
        <v>11</v>
      </c>
      <c r="R45" cm="1">
        <f t="array" ref="R45">IF(AX45&gt;0,0,SUMPRODUCT((AX$25:AX$124=0)*($B$25:$B$124&gt;=$B45)*($B$25:$B$124&lt;=$B45+ANALYSIS!$G$5)*($C$25:$C$124&gt;=$C45)*($C$25:$C$124&lt;=$C45+ANALYSIS!$G$6)))</f>
        <v>3</v>
      </c>
      <c r="S45" cm="1">
        <f t="array" ref="S45">IF(AY45&gt;0,0,SUMPRODUCT((AY$25:AY$124=0)*($B$25:$B$124&gt;=$B45)*($B$25:$B$124&lt;=$B45+ANALYSIS!$G$5)*($C$25:$C$124&gt;=$C45)*($C$25:$C$124&lt;=$C45+ANALYSIS!$G$6)))</f>
        <v>3</v>
      </c>
      <c r="T45" cm="1">
        <f t="array" ref="T45">IF(AZ45&gt;0,0,SUMPRODUCT((AZ$25:AZ$124=0)*($B$25:$B$124&gt;=$B45)*($B$25:$B$124&lt;=$B45+ANALYSIS!$G$5)*($C$25:$C$124&gt;=$C45)*($C$25:$C$124&lt;=$C45+ANALYSIS!$G$6)))</f>
        <v>3</v>
      </c>
      <c r="U45" cm="1">
        <f t="array" ref="U45">IF(BA45&gt;0,0,SUMPRODUCT((BA$25:BA$124=0)*($B$25:$B$124&gt;=$B45)*($B$25:$B$124&lt;=$B45+ANALYSIS!$G$5)*($C$25:$C$124&gt;=$C45)*($C$25:$C$124&lt;=$C45+ANALYSIS!$G$6)))</f>
        <v>3</v>
      </c>
      <c r="V45" cm="1">
        <f t="array" ref="V45">IF(BB45&gt;0,0,SUMPRODUCT((BB$25:BB$124=0)*($B$25:$B$124&gt;=$B45)*($B$25:$B$124&lt;=$B45+ANALYSIS!$G$5)*($C$25:$C$124&gt;=$C45)*($C$25:$C$124&lt;=$C45+ANALYSIS!$G$6)))</f>
        <v>3</v>
      </c>
      <c r="W45" cm="1">
        <f t="array" ref="W45">IF(BC45&gt;0,0,SUMPRODUCT((BC$25:BC$124=0)*($B$25:$B$124&gt;=$B45)*($B$25:$B$124&lt;=$B45+ANALYSIS!$G$5)*($C$25:$C$124&gt;=$C45)*($C$25:$C$124&lt;=$C45+ANALYSIS!$G$6)))</f>
        <v>3</v>
      </c>
      <c r="X45" cm="1">
        <f t="array" ref="X45">IF(BD45&gt;0,0,SUMPRODUCT((BD$25:BD$124=0)*($B$25:$B$124&gt;=$B45)*($B$25:$B$124&lt;=$B45+ANALYSIS!$G$5)*($C$25:$C$124&gt;=$C45)*($C$25:$C$124&lt;=$C45+ANALYSIS!$G$6)))</f>
        <v>3</v>
      </c>
      <c r="Y45" cm="1">
        <f t="array" ref="Y45">IF(BE45&gt;0,0,SUMPRODUCT((BE$25:BE$124=0)*($B$25:$B$124&gt;=$B45)*($B$25:$B$124&lt;=$B45+ANALYSIS!$G$5)*($C$25:$C$124&gt;=$C45)*($C$25:$C$124&lt;=$C45+ANALYSIS!$G$6)))</f>
        <v>3</v>
      </c>
      <c r="Z45" cm="1">
        <f t="array" ref="Z45">IF(BF45&gt;0,0,SUMPRODUCT((BF$25:BF$124=0)*($B$25:$B$124&gt;=$B45)*($B$25:$B$124&lt;=$B45+ANALYSIS!$G$5)*($C$25:$C$124&gt;=$C45)*($C$25:$C$124&lt;=$C45+ANALYSIS!$G$6)))</f>
        <v>3</v>
      </c>
      <c r="AA45" cm="1">
        <f t="array" ref="AA45">IF(BG45&gt;0,0,SUMPRODUCT((BG$25:BG$124=0)*($B$25:$B$124&gt;=$B45)*($B$25:$B$124&lt;=$B45+ANALYSIS!$G$5)*($C$25:$C$124&gt;=$C45)*($C$25:$C$124&lt;=$C45+ANALYSIS!$G$6)))</f>
        <v>3</v>
      </c>
      <c r="AB45" cm="1">
        <f t="array" ref="AB45">IF(BH45&gt;0,0,SUMPRODUCT((BH$25:BH$124=0)*($B$25:$B$124&gt;=$B45)*($B$25:$B$124&lt;=$B45+ANALYSIS!$G$5)*($C$25:$C$124&gt;=$C45)*($C$25:$C$124&lt;=$C45+ANALYSIS!$G$6)))</f>
        <v>3</v>
      </c>
      <c r="AC45" cm="1">
        <f t="array" ref="AC45">IF(BI45&gt;0,0,SUMPRODUCT((BI$25:BI$124=0)*($B$25:$B$124&gt;=$B45)*($B$25:$B$124&lt;=$B45+ANALYSIS!$G$5)*($C$25:$C$124&gt;=$C45)*($C$25:$C$124&lt;=$C45+ANALYSIS!$G$6)))</f>
        <v>0</v>
      </c>
      <c r="AD45" cm="1">
        <f t="array" ref="AD45">IF(BJ45&gt;0,0,SUMPRODUCT((BJ$25:BJ$124=0)*($B$25:$B$124&gt;=$B45)*($B$25:$B$124&lt;=$B45+ANALYSIS!$G$5)*($C$25:$C$124&gt;=$C45)*($C$25:$C$124&lt;=$C45+ANALYSIS!$G$6)))</f>
        <v>0</v>
      </c>
      <c r="AE45" cm="1">
        <f t="array" ref="AE45">IF(BK45&gt;0,0,SUMPRODUCT((BK$25:BK$124=0)*($B$25:$B$124&gt;=$B45)*($B$25:$B$124&lt;=$B45+ANALYSIS!$G$5)*($C$25:$C$124&gt;=$C45)*($C$25:$C$124&lt;=$C45+ANALYSIS!$G$6)))</f>
        <v>0</v>
      </c>
      <c r="AF45" cm="1">
        <f t="array" ref="AF45">IF(BL45&gt;0,0,SUMPRODUCT((BL$25:BL$124=0)*($B$25:$B$124&gt;=$B45)*($B$25:$B$124&lt;=$B45+ANALYSIS!$G$5)*($C$25:$C$124&gt;=$C45)*($C$25:$C$124&lt;=$C45+ANALYSIS!$G$6)))</f>
        <v>0</v>
      </c>
      <c r="AH45">
        <f>IF(AND(AX45=0,$B45&gt;=R$22,$B45&lt;=R$22+ANALYSIS!$G$5,$C45&gt;=R$23,$C45&lt;=R$23+ANALYSIS!$G$6),1,0)</f>
        <v>0</v>
      </c>
      <c r="AI45">
        <f>IF(AND(AY45=0,$B45&gt;=S$22,$B45&lt;=S$22+ANALYSIS!$G$5,$C45&gt;=S$23,$C45&lt;=S$23+ANALYSIS!$G$6),1,0)</f>
        <v>0</v>
      </c>
      <c r="AJ45">
        <f>IF(AND(AZ45=0,$B45&gt;=T$22,$B45&lt;=T$22+ANALYSIS!$G$5,$C45&gt;=T$23,$C45&lt;=T$23+ANALYSIS!$G$6),1,0)</f>
        <v>0</v>
      </c>
      <c r="AK45">
        <f>IF(AND(BA45=0,$B45&gt;=U$22,$B45&lt;=U$22+ANALYSIS!$G$5,$C45&gt;=U$23,$C45&lt;=U$23+ANALYSIS!$G$6),1,0)</f>
        <v>0</v>
      </c>
      <c r="AL45">
        <f>IF(AND(BB45=0,$B45&gt;=V$22,$B45&lt;=V$22+ANALYSIS!$G$5,$C45&gt;=V$23,$C45&lt;=V$23+ANALYSIS!$G$6),1,0)</f>
        <v>0</v>
      </c>
      <c r="AM45">
        <f>IF(AND(BC45=0,$B45&gt;=W$22,$B45&lt;=W$22+ANALYSIS!$G$5,$C45&gt;=W$23,$C45&lt;=W$23+ANALYSIS!$G$6),1,0)</f>
        <v>0</v>
      </c>
      <c r="AN45">
        <f>IF(AND(BD45=0,$B45&gt;=X$22,$B45&lt;=X$22+ANALYSIS!$G$5,$C45&gt;=X$23,$C45&lt;=X$23+ANALYSIS!$G$6),1,0)</f>
        <v>0</v>
      </c>
      <c r="AO45">
        <f>IF(AND(BE45=0,$B45&gt;=Y$22,$B45&lt;=Y$22+ANALYSIS!$G$5,$C45&gt;=Y$23,$C45&lt;=Y$23+ANALYSIS!$G$6),1,0)</f>
        <v>0</v>
      </c>
      <c r="AP45">
        <f>IF(AND(BF45=0,$B45&gt;=Z$22,$B45&lt;=Z$22+ANALYSIS!$G$5,$C45&gt;=Z$23,$C45&lt;=Z$23+ANALYSIS!$G$6),1,0)</f>
        <v>0</v>
      </c>
      <c r="AQ45">
        <f>IF(AND(BG45=0,$B45&gt;=AA$22,$B45&lt;=AA$22+ANALYSIS!$G$5,$C45&gt;=AA$23,$C45&lt;=AA$23+ANALYSIS!$G$6),1,0)</f>
        <v>0</v>
      </c>
      <c r="AR45">
        <f>IF(AND(BH45=0,$B45&gt;=AB$22,$B45&lt;=AB$22+ANALYSIS!$G$5,$C45&gt;=AB$23,$C45&lt;=AB$23+ANALYSIS!$G$6),1,0)</f>
        <v>1</v>
      </c>
      <c r="AS45">
        <f>IF(AND(BI45=0,$B45&gt;=AC$22,$B45&lt;=AC$22+ANALYSIS!$G$5,$C45&gt;=AC$23,$C45&lt;=AC$23+ANALYSIS!$G$6),1,0)</f>
        <v>0</v>
      </c>
      <c r="AT45">
        <f>IF(AND(BJ45=0,$B45&gt;=AD$22,$B45&lt;=AD$22+ANALYSIS!$G$5,$C45&gt;=AD$23,$C45&lt;=AD$23+ANALYSIS!$G$6),1,0)</f>
        <v>0</v>
      </c>
      <c r="AU45">
        <f>IF(AND(BK45=0,$B45&gt;=AE$22,$B45&lt;=AE$22+ANALYSIS!$G$5,$C45&gt;=AE$23,$C45&lt;=AE$23+ANALYSIS!$G$6),1,0)</f>
        <v>0</v>
      </c>
      <c r="AV45">
        <f>IF(AND(BL45=0,$B45&gt;=AF$22,$B45&lt;=AF$22+ANALYSIS!$G$5,$C45&gt;=AF$23,$C45&lt;=AF$23+ANALYSIS!$G$6),1,0)</f>
        <v>0</v>
      </c>
      <c r="AX45">
        <v>0</v>
      </c>
      <c r="AY45">
        <f t="shared" si="13"/>
        <v>0</v>
      </c>
      <c r="AZ45">
        <f t="shared" si="14"/>
        <v>0</v>
      </c>
      <c r="BA45">
        <f t="shared" si="15"/>
        <v>0</v>
      </c>
      <c r="BB45">
        <f t="shared" si="16"/>
        <v>0</v>
      </c>
      <c r="BC45">
        <f t="shared" si="17"/>
        <v>0</v>
      </c>
      <c r="BD45">
        <f t="shared" si="18"/>
        <v>0</v>
      </c>
      <c r="BE45">
        <f t="shared" si="19"/>
        <v>0</v>
      </c>
      <c r="BF45">
        <f t="shared" si="20"/>
        <v>0</v>
      </c>
      <c r="BG45">
        <f t="shared" si="21"/>
        <v>0</v>
      </c>
      <c r="BH45">
        <f t="shared" si="22"/>
        <v>0</v>
      </c>
      <c r="BI45">
        <f t="shared" si="23"/>
        <v>1</v>
      </c>
      <c r="BJ45">
        <f t="shared" si="24"/>
        <v>1</v>
      </c>
      <c r="BK45">
        <f t="shared" si="25"/>
        <v>1</v>
      </c>
      <c r="BL45">
        <f t="shared" si="26"/>
        <v>1</v>
      </c>
      <c r="BM45">
        <f t="shared" si="27"/>
        <v>1</v>
      </c>
    </row>
    <row r="46" spans="1:65" x14ac:dyDescent="0.25">
      <c r="A46" s="41" t="str">
        <f>ANALYSIS!B52</f>
        <v>19-22</v>
      </c>
      <c r="B46" s="41">
        <f>ANALYSIS!E52</f>
        <v>55.5</v>
      </c>
      <c r="C46" s="41">
        <f>ANALYSIS!G52</f>
        <v>23.25</v>
      </c>
      <c r="D46" s="41">
        <f t="shared" si="12"/>
        <v>2</v>
      </c>
      <c r="R46" cm="1">
        <f t="array" ref="R46">IF(AX46&gt;0,0,SUMPRODUCT((AX$25:AX$124=0)*($B$25:$B$124&gt;=$B46)*($B$25:$B$124&lt;=$B46+ANALYSIS!$G$5)*($C$25:$C$124&gt;=$C46)*($C$25:$C$124&lt;=$C46+ANALYSIS!$G$6)))</f>
        <v>8</v>
      </c>
      <c r="S46" cm="1">
        <f t="array" ref="S46">IF(AY46&gt;0,0,SUMPRODUCT((AY$25:AY$124=0)*($B$25:$B$124&gt;=$B46)*($B$25:$B$124&lt;=$B46+ANALYSIS!$G$5)*($C$25:$C$124&gt;=$C46)*($C$25:$C$124&lt;=$C46+ANALYSIS!$G$6)))</f>
        <v>8</v>
      </c>
      <c r="T46" cm="1">
        <f t="array" ref="T46">IF(AZ46&gt;0,0,SUMPRODUCT((AZ$25:AZ$124=0)*($B$25:$B$124&gt;=$B46)*($B$25:$B$124&lt;=$B46+ANALYSIS!$G$5)*($C$25:$C$124&gt;=$C46)*($C$25:$C$124&lt;=$C46+ANALYSIS!$G$6)))</f>
        <v>0</v>
      </c>
      <c r="U46" cm="1">
        <f t="array" ref="U46">IF(BA46&gt;0,0,SUMPRODUCT((BA$25:BA$124=0)*($B$25:$B$124&gt;=$B46)*($B$25:$B$124&lt;=$B46+ANALYSIS!$G$5)*($C$25:$C$124&gt;=$C46)*($C$25:$C$124&lt;=$C46+ANALYSIS!$G$6)))</f>
        <v>0</v>
      </c>
      <c r="V46" cm="1">
        <f t="array" ref="V46">IF(BB46&gt;0,0,SUMPRODUCT((BB$25:BB$124=0)*($B$25:$B$124&gt;=$B46)*($B$25:$B$124&lt;=$B46+ANALYSIS!$G$5)*($C$25:$C$124&gt;=$C46)*($C$25:$C$124&lt;=$C46+ANALYSIS!$G$6)))</f>
        <v>0</v>
      </c>
      <c r="W46" cm="1">
        <f t="array" ref="W46">IF(BC46&gt;0,0,SUMPRODUCT((BC$25:BC$124=0)*($B$25:$B$124&gt;=$B46)*($B$25:$B$124&lt;=$B46+ANALYSIS!$G$5)*($C$25:$C$124&gt;=$C46)*($C$25:$C$124&lt;=$C46+ANALYSIS!$G$6)))</f>
        <v>0</v>
      </c>
      <c r="X46" cm="1">
        <f t="array" ref="X46">IF(BD46&gt;0,0,SUMPRODUCT((BD$25:BD$124=0)*($B$25:$B$124&gt;=$B46)*($B$25:$B$124&lt;=$B46+ANALYSIS!$G$5)*($C$25:$C$124&gt;=$C46)*($C$25:$C$124&lt;=$C46+ANALYSIS!$G$6)))</f>
        <v>0</v>
      </c>
      <c r="Y46" cm="1">
        <f t="array" ref="Y46">IF(BE46&gt;0,0,SUMPRODUCT((BE$25:BE$124=0)*($B$25:$B$124&gt;=$B46)*($B$25:$B$124&lt;=$B46+ANALYSIS!$G$5)*($C$25:$C$124&gt;=$C46)*($C$25:$C$124&lt;=$C46+ANALYSIS!$G$6)))</f>
        <v>0</v>
      </c>
      <c r="Z46" cm="1">
        <f t="array" ref="Z46">IF(BF46&gt;0,0,SUMPRODUCT((BF$25:BF$124=0)*($B$25:$B$124&gt;=$B46)*($B$25:$B$124&lt;=$B46+ANALYSIS!$G$5)*($C$25:$C$124&gt;=$C46)*($C$25:$C$124&lt;=$C46+ANALYSIS!$G$6)))</f>
        <v>0</v>
      </c>
      <c r="AA46" cm="1">
        <f t="array" ref="AA46">IF(BG46&gt;0,0,SUMPRODUCT((BG$25:BG$124=0)*($B$25:$B$124&gt;=$B46)*($B$25:$B$124&lt;=$B46+ANALYSIS!$G$5)*($C$25:$C$124&gt;=$C46)*($C$25:$C$124&lt;=$C46+ANALYSIS!$G$6)))</f>
        <v>0</v>
      </c>
      <c r="AB46" cm="1">
        <f t="array" ref="AB46">IF(BH46&gt;0,0,SUMPRODUCT((BH$25:BH$124=0)*($B$25:$B$124&gt;=$B46)*($B$25:$B$124&lt;=$B46+ANALYSIS!$G$5)*($C$25:$C$124&gt;=$C46)*($C$25:$C$124&lt;=$C46+ANALYSIS!$G$6)))</f>
        <v>0</v>
      </c>
      <c r="AC46" cm="1">
        <f t="array" ref="AC46">IF(BI46&gt;0,0,SUMPRODUCT((BI$25:BI$124=0)*($B$25:$B$124&gt;=$B46)*($B$25:$B$124&lt;=$B46+ANALYSIS!$G$5)*($C$25:$C$124&gt;=$C46)*($C$25:$C$124&lt;=$C46+ANALYSIS!$G$6)))</f>
        <v>0</v>
      </c>
      <c r="AD46" cm="1">
        <f t="array" ref="AD46">IF(BJ46&gt;0,0,SUMPRODUCT((BJ$25:BJ$124=0)*($B$25:$B$124&gt;=$B46)*($B$25:$B$124&lt;=$B46+ANALYSIS!$G$5)*($C$25:$C$124&gt;=$C46)*($C$25:$C$124&lt;=$C46+ANALYSIS!$G$6)))</f>
        <v>0</v>
      </c>
      <c r="AE46" cm="1">
        <f t="array" ref="AE46">IF(BK46&gt;0,0,SUMPRODUCT((BK$25:BK$124=0)*($B$25:$B$124&gt;=$B46)*($B$25:$B$124&lt;=$B46+ANALYSIS!$G$5)*($C$25:$C$124&gt;=$C46)*($C$25:$C$124&lt;=$C46+ANALYSIS!$G$6)))</f>
        <v>0</v>
      </c>
      <c r="AF46" cm="1">
        <f t="array" ref="AF46">IF(BL46&gt;0,0,SUMPRODUCT((BL$25:BL$124=0)*($B$25:$B$124&gt;=$B46)*($B$25:$B$124&lt;=$B46+ANALYSIS!$G$5)*($C$25:$C$124&gt;=$C46)*($C$25:$C$124&lt;=$C46+ANALYSIS!$G$6)))</f>
        <v>0</v>
      </c>
      <c r="AH46">
        <f>IF(AND(AX46=0,$B46&gt;=R$22,$B46&lt;=R$22+ANALYSIS!$G$5,$C46&gt;=R$23,$C46&lt;=R$23+ANALYSIS!$G$6),1,0)</f>
        <v>0</v>
      </c>
      <c r="AI46">
        <f>IF(AND(AY46=0,$B46&gt;=S$22,$B46&lt;=S$22+ANALYSIS!$G$5,$C46&gt;=S$23,$C46&lt;=S$23+ANALYSIS!$G$6),1,0)</f>
        <v>1</v>
      </c>
      <c r="AJ46">
        <f>IF(AND(AZ46=0,$B46&gt;=T$22,$B46&lt;=T$22+ANALYSIS!$G$5,$C46&gt;=T$23,$C46&lt;=T$23+ANALYSIS!$G$6),1,0)</f>
        <v>0</v>
      </c>
      <c r="AK46">
        <f>IF(AND(BA46=0,$B46&gt;=U$22,$B46&lt;=U$22+ANALYSIS!$G$5,$C46&gt;=U$23,$C46&lt;=U$23+ANALYSIS!$G$6),1,0)</f>
        <v>0</v>
      </c>
      <c r="AL46">
        <f>IF(AND(BB46=0,$B46&gt;=V$22,$B46&lt;=V$22+ANALYSIS!$G$5,$C46&gt;=V$23,$C46&lt;=V$23+ANALYSIS!$G$6),1,0)</f>
        <v>0</v>
      </c>
      <c r="AM46">
        <f>IF(AND(BC46=0,$B46&gt;=W$22,$B46&lt;=W$22+ANALYSIS!$G$5,$C46&gt;=W$23,$C46&lt;=W$23+ANALYSIS!$G$6),1,0)</f>
        <v>0</v>
      </c>
      <c r="AN46">
        <f>IF(AND(BD46=0,$B46&gt;=X$22,$B46&lt;=X$22+ANALYSIS!$G$5,$C46&gt;=X$23,$C46&lt;=X$23+ANALYSIS!$G$6),1,0)</f>
        <v>0</v>
      </c>
      <c r="AO46">
        <f>IF(AND(BE46=0,$B46&gt;=Y$22,$B46&lt;=Y$22+ANALYSIS!$G$5,$C46&gt;=Y$23,$C46&lt;=Y$23+ANALYSIS!$G$6),1,0)</f>
        <v>0</v>
      </c>
      <c r="AP46">
        <f>IF(AND(BF46=0,$B46&gt;=Z$22,$B46&lt;=Z$22+ANALYSIS!$G$5,$C46&gt;=Z$23,$C46&lt;=Z$23+ANALYSIS!$G$6),1,0)</f>
        <v>0</v>
      </c>
      <c r="AQ46">
        <f>IF(AND(BG46=0,$B46&gt;=AA$22,$B46&lt;=AA$22+ANALYSIS!$G$5,$C46&gt;=AA$23,$C46&lt;=AA$23+ANALYSIS!$G$6),1,0)</f>
        <v>0</v>
      </c>
      <c r="AR46">
        <f>IF(AND(BH46=0,$B46&gt;=AB$22,$B46&lt;=AB$22+ANALYSIS!$G$5,$C46&gt;=AB$23,$C46&lt;=AB$23+ANALYSIS!$G$6),1,0)</f>
        <v>0</v>
      </c>
      <c r="AS46">
        <f>IF(AND(BI46=0,$B46&gt;=AC$22,$B46&lt;=AC$22+ANALYSIS!$G$5,$C46&gt;=AC$23,$C46&lt;=AC$23+ANALYSIS!$G$6),1,0)</f>
        <v>0</v>
      </c>
      <c r="AT46">
        <f>IF(AND(BJ46=0,$B46&gt;=AD$22,$B46&lt;=AD$22+ANALYSIS!$G$5,$C46&gt;=AD$23,$C46&lt;=AD$23+ANALYSIS!$G$6),1,0)</f>
        <v>0</v>
      </c>
      <c r="AU46">
        <f>IF(AND(BK46=0,$B46&gt;=AE$22,$B46&lt;=AE$22+ANALYSIS!$G$5,$C46&gt;=AE$23,$C46&lt;=AE$23+ANALYSIS!$G$6),1,0)</f>
        <v>0</v>
      </c>
      <c r="AV46">
        <f>IF(AND(BL46=0,$B46&gt;=AF$22,$B46&lt;=AF$22+ANALYSIS!$G$5,$C46&gt;=AF$23,$C46&lt;=AF$23+ANALYSIS!$G$6),1,0)</f>
        <v>0</v>
      </c>
      <c r="AX46">
        <v>0</v>
      </c>
      <c r="AY46">
        <f t="shared" si="13"/>
        <v>0</v>
      </c>
      <c r="AZ46">
        <f t="shared" si="14"/>
        <v>1</v>
      </c>
      <c r="BA46">
        <f t="shared" si="15"/>
        <v>1</v>
      </c>
      <c r="BB46">
        <f t="shared" si="16"/>
        <v>1</v>
      </c>
      <c r="BC46">
        <f t="shared" si="17"/>
        <v>1</v>
      </c>
      <c r="BD46">
        <f t="shared" si="18"/>
        <v>1</v>
      </c>
      <c r="BE46">
        <f t="shared" si="19"/>
        <v>1</v>
      </c>
      <c r="BF46">
        <f t="shared" si="20"/>
        <v>1</v>
      </c>
      <c r="BG46">
        <f t="shared" si="21"/>
        <v>1</v>
      </c>
      <c r="BH46">
        <f t="shared" si="22"/>
        <v>1</v>
      </c>
      <c r="BI46">
        <f t="shared" si="23"/>
        <v>1</v>
      </c>
      <c r="BJ46">
        <f t="shared" si="24"/>
        <v>1</v>
      </c>
      <c r="BK46">
        <f t="shared" si="25"/>
        <v>1</v>
      </c>
      <c r="BL46">
        <f t="shared" si="26"/>
        <v>1</v>
      </c>
      <c r="BM46">
        <f t="shared" si="27"/>
        <v>1</v>
      </c>
    </row>
    <row r="47" spans="1:65" x14ac:dyDescent="0.25">
      <c r="A47" s="41" t="str">
        <f>ANALYSIS!B53</f>
        <v>19-23</v>
      </c>
      <c r="B47" s="41">
        <f>ANALYSIS!E53</f>
        <v>55</v>
      </c>
      <c r="C47" s="41">
        <f>ANALYSIS!G53</f>
        <v>25.09</v>
      </c>
      <c r="D47" s="41">
        <f t="shared" si="12"/>
        <v>3</v>
      </c>
      <c r="R47" cm="1">
        <f t="array" ref="R47">IF(AX47&gt;0,0,SUMPRODUCT((AX$25:AX$124=0)*($B$25:$B$124&gt;=$B47)*($B$25:$B$124&lt;=$B47+ANALYSIS!$G$5)*($C$25:$C$124&gt;=$C47)*($C$25:$C$124&lt;=$C47+ANALYSIS!$G$6)))</f>
        <v>9</v>
      </c>
      <c r="S47" cm="1">
        <f t="array" ref="S47">IF(AY47&gt;0,0,SUMPRODUCT((AY$25:AY$124=0)*($B$25:$B$124&gt;=$B47)*($B$25:$B$124&lt;=$B47+ANALYSIS!$G$5)*($C$25:$C$124&gt;=$C47)*($C$25:$C$124&lt;=$C47+ANALYSIS!$G$6)))</f>
        <v>9</v>
      </c>
      <c r="T47" cm="1">
        <f t="array" ref="T47">IF(AZ47&gt;0,0,SUMPRODUCT((AZ$25:AZ$124=0)*($B$25:$B$124&gt;=$B47)*($B$25:$B$124&lt;=$B47+ANALYSIS!$G$5)*($C$25:$C$124&gt;=$C47)*($C$25:$C$124&lt;=$C47+ANALYSIS!$G$6)))</f>
        <v>9</v>
      </c>
      <c r="U47" cm="1">
        <f t="array" ref="U47">IF(BA47&gt;0,0,SUMPRODUCT((BA$25:BA$124=0)*($B$25:$B$124&gt;=$B47)*($B$25:$B$124&lt;=$B47+ANALYSIS!$G$5)*($C$25:$C$124&gt;=$C47)*($C$25:$C$124&lt;=$C47+ANALYSIS!$G$6)))</f>
        <v>0</v>
      </c>
      <c r="V47" cm="1">
        <f t="array" ref="V47">IF(BB47&gt;0,0,SUMPRODUCT((BB$25:BB$124=0)*($B$25:$B$124&gt;=$B47)*($B$25:$B$124&lt;=$B47+ANALYSIS!$G$5)*($C$25:$C$124&gt;=$C47)*($C$25:$C$124&lt;=$C47+ANALYSIS!$G$6)))</f>
        <v>0</v>
      </c>
      <c r="W47" cm="1">
        <f t="array" ref="W47">IF(BC47&gt;0,0,SUMPRODUCT((BC$25:BC$124=0)*($B$25:$B$124&gt;=$B47)*($B$25:$B$124&lt;=$B47+ANALYSIS!$G$5)*($C$25:$C$124&gt;=$C47)*($C$25:$C$124&lt;=$C47+ANALYSIS!$G$6)))</f>
        <v>0</v>
      </c>
      <c r="X47" cm="1">
        <f t="array" ref="X47">IF(BD47&gt;0,0,SUMPRODUCT((BD$25:BD$124=0)*($B$25:$B$124&gt;=$B47)*($B$25:$B$124&lt;=$B47+ANALYSIS!$G$5)*($C$25:$C$124&gt;=$C47)*($C$25:$C$124&lt;=$C47+ANALYSIS!$G$6)))</f>
        <v>0</v>
      </c>
      <c r="Y47" cm="1">
        <f t="array" ref="Y47">IF(BE47&gt;0,0,SUMPRODUCT((BE$25:BE$124=0)*($B$25:$B$124&gt;=$B47)*($B$25:$B$124&lt;=$B47+ANALYSIS!$G$5)*($C$25:$C$124&gt;=$C47)*($C$25:$C$124&lt;=$C47+ANALYSIS!$G$6)))</f>
        <v>0</v>
      </c>
      <c r="Z47" cm="1">
        <f t="array" ref="Z47">IF(BF47&gt;0,0,SUMPRODUCT((BF$25:BF$124=0)*($B$25:$B$124&gt;=$B47)*($B$25:$B$124&lt;=$B47+ANALYSIS!$G$5)*($C$25:$C$124&gt;=$C47)*($C$25:$C$124&lt;=$C47+ANALYSIS!$G$6)))</f>
        <v>0</v>
      </c>
      <c r="AA47" cm="1">
        <f t="array" ref="AA47">IF(BG47&gt;0,0,SUMPRODUCT((BG$25:BG$124=0)*($B$25:$B$124&gt;=$B47)*($B$25:$B$124&lt;=$B47+ANALYSIS!$G$5)*($C$25:$C$124&gt;=$C47)*($C$25:$C$124&lt;=$C47+ANALYSIS!$G$6)))</f>
        <v>0</v>
      </c>
      <c r="AB47" cm="1">
        <f t="array" ref="AB47">IF(BH47&gt;0,0,SUMPRODUCT((BH$25:BH$124=0)*($B$25:$B$124&gt;=$B47)*($B$25:$B$124&lt;=$B47+ANALYSIS!$G$5)*($C$25:$C$124&gt;=$C47)*($C$25:$C$124&lt;=$C47+ANALYSIS!$G$6)))</f>
        <v>0</v>
      </c>
      <c r="AC47" cm="1">
        <f t="array" ref="AC47">IF(BI47&gt;0,0,SUMPRODUCT((BI$25:BI$124=0)*($B$25:$B$124&gt;=$B47)*($B$25:$B$124&lt;=$B47+ANALYSIS!$G$5)*($C$25:$C$124&gt;=$C47)*($C$25:$C$124&lt;=$C47+ANALYSIS!$G$6)))</f>
        <v>0</v>
      </c>
      <c r="AD47" cm="1">
        <f t="array" ref="AD47">IF(BJ47&gt;0,0,SUMPRODUCT((BJ$25:BJ$124=0)*($B$25:$B$124&gt;=$B47)*($B$25:$B$124&lt;=$B47+ANALYSIS!$G$5)*($C$25:$C$124&gt;=$C47)*($C$25:$C$124&lt;=$C47+ANALYSIS!$G$6)))</f>
        <v>0</v>
      </c>
      <c r="AE47" cm="1">
        <f t="array" ref="AE47">IF(BK47&gt;0,0,SUMPRODUCT((BK$25:BK$124=0)*($B$25:$B$124&gt;=$B47)*($B$25:$B$124&lt;=$B47+ANALYSIS!$G$5)*($C$25:$C$124&gt;=$C47)*($C$25:$C$124&lt;=$C47+ANALYSIS!$G$6)))</f>
        <v>0</v>
      </c>
      <c r="AF47" cm="1">
        <f t="array" ref="AF47">IF(BL47&gt;0,0,SUMPRODUCT((BL$25:BL$124=0)*($B$25:$B$124&gt;=$B47)*($B$25:$B$124&lt;=$B47+ANALYSIS!$G$5)*($C$25:$C$124&gt;=$C47)*($C$25:$C$124&lt;=$C47+ANALYSIS!$G$6)))</f>
        <v>0</v>
      </c>
      <c r="AH47">
        <f>IF(AND(AX47=0,$B47&gt;=R$22,$B47&lt;=R$22+ANALYSIS!$G$5,$C47&gt;=R$23,$C47&lt;=R$23+ANALYSIS!$G$6),1,0)</f>
        <v>0</v>
      </c>
      <c r="AI47">
        <f>IF(AND(AY47=0,$B47&gt;=S$22,$B47&lt;=S$22+ANALYSIS!$G$5,$C47&gt;=S$23,$C47&lt;=S$23+ANALYSIS!$G$6),1,0)</f>
        <v>0</v>
      </c>
      <c r="AJ47">
        <f>IF(AND(AZ47=0,$B47&gt;=T$22,$B47&lt;=T$22+ANALYSIS!$G$5,$C47&gt;=T$23,$C47&lt;=T$23+ANALYSIS!$G$6),1,0)</f>
        <v>1</v>
      </c>
      <c r="AK47">
        <f>IF(AND(BA47=0,$B47&gt;=U$22,$B47&lt;=U$22+ANALYSIS!$G$5,$C47&gt;=U$23,$C47&lt;=U$23+ANALYSIS!$G$6),1,0)</f>
        <v>0</v>
      </c>
      <c r="AL47">
        <f>IF(AND(BB47=0,$B47&gt;=V$22,$B47&lt;=V$22+ANALYSIS!$G$5,$C47&gt;=V$23,$C47&lt;=V$23+ANALYSIS!$G$6),1,0)</f>
        <v>0</v>
      </c>
      <c r="AM47">
        <f>IF(AND(BC47=0,$B47&gt;=W$22,$B47&lt;=W$22+ANALYSIS!$G$5,$C47&gt;=W$23,$C47&lt;=W$23+ANALYSIS!$G$6),1,0)</f>
        <v>0</v>
      </c>
      <c r="AN47">
        <f>IF(AND(BD47=0,$B47&gt;=X$22,$B47&lt;=X$22+ANALYSIS!$G$5,$C47&gt;=X$23,$C47&lt;=X$23+ANALYSIS!$G$6),1,0)</f>
        <v>0</v>
      </c>
      <c r="AO47">
        <f>IF(AND(BE47=0,$B47&gt;=Y$22,$B47&lt;=Y$22+ANALYSIS!$G$5,$C47&gt;=Y$23,$C47&lt;=Y$23+ANALYSIS!$G$6),1,0)</f>
        <v>0</v>
      </c>
      <c r="AP47">
        <f>IF(AND(BF47=0,$B47&gt;=Z$22,$B47&lt;=Z$22+ANALYSIS!$G$5,$C47&gt;=Z$23,$C47&lt;=Z$23+ANALYSIS!$G$6),1,0)</f>
        <v>0</v>
      </c>
      <c r="AQ47">
        <f>IF(AND(BG47=0,$B47&gt;=AA$22,$B47&lt;=AA$22+ANALYSIS!$G$5,$C47&gt;=AA$23,$C47&lt;=AA$23+ANALYSIS!$G$6),1,0)</f>
        <v>0</v>
      </c>
      <c r="AR47">
        <f>IF(AND(BH47=0,$B47&gt;=AB$22,$B47&lt;=AB$22+ANALYSIS!$G$5,$C47&gt;=AB$23,$C47&lt;=AB$23+ANALYSIS!$G$6),1,0)</f>
        <v>0</v>
      </c>
      <c r="AS47">
        <f>IF(AND(BI47=0,$B47&gt;=AC$22,$B47&lt;=AC$22+ANALYSIS!$G$5,$C47&gt;=AC$23,$C47&lt;=AC$23+ANALYSIS!$G$6),1,0)</f>
        <v>0</v>
      </c>
      <c r="AT47">
        <f>IF(AND(BJ47=0,$B47&gt;=AD$22,$B47&lt;=AD$22+ANALYSIS!$G$5,$C47&gt;=AD$23,$C47&lt;=AD$23+ANALYSIS!$G$6),1,0)</f>
        <v>0</v>
      </c>
      <c r="AU47">
        <f>IF(AND(BK47=0,$B47&gt;=AE$22,$B47&lt;=AE$22+ANALYSIS!$G$5,$C47&gt;=AE$23,$C47&lt;=AE$23+ANALYSIS!$G$6),1,0)</f>
        <v>0</v>
      </c>
      <c r="AV47">
        <f>IF(AND(BL47=0,$B47&gt;=AF$22,$B47&lt;=AF$22+ANALYSIS!$G$5,$C47&gt;=AF$23,$C47&lt;=AF$23+ANALYSIS!$G$6),1,0)</f>
        <v>0</v>
      </c>
      <c r="AX47">
        <v>0</v>
      </c>
      <c r="AY47">
        <f t="shared" si="13"/>
        <v>0</v>
      </c>
      <c r="AZ47">
        <f t="shared" si="14"/>
        <v>0</v>
      </c>
      <c r="BA47">
        <f t="shared" si="15"/>
        <v>1</v>
      </c>
      <c r="BB47">
        <f t="shared" si="16"/>
        <v>1</v>
      </c>
      <c r="BC47">
        <f t="shared" si="17"/>
        <v>1</v>
      </c>
      <c r="BD47">
        <f t="shared" si="18"/>
        <v>1</v>
      </c>
      <c r="BE47">
        <f t="shared" si="19"/>
        <v>1</v>
      </c>
      <c r="BF47">
        <f t="shared" si="20"/>
        <v>1</v>
      </c>
      <c r="BG47">
        <f t="shared" si="21"/>
        <v>1</v>
      </c>
      <c r="BH47">
        <f t="shared" si="22"/>
        <v>1</v>
      </c>
      <c r="BI47">
        <f t="shared" si="23"/>
        <v>1</v>
      </c>
      <c r="BJ47">
        <f t="shared" si="24"/>
        <v>1</v>
      </c>
      <c r="BK47">
        <f t="shared" si="25"/>
        <v>1</v>
      </c>
      <c r="BL47">
        <f t="shared" si="26"/>
        <v>1</v>
      </c>
      <c r="BM47">
        <f t="shared" si="27"/>
        <v>1</v>
      </c>
    </row>
    <row r="48" spans="1:65" x14ac:dyDescent="0.25">
      <c r="A48" s="41" t="str">
        <f>ANALYSIS!B54</f>
        <v>19-24</v>
      </c>
      <c r="B48" s="41">
        <f>ANALYSIS!E54</f>
        <v>59</v>
      </c>
      <c r="C48" s="41">
        <f>ANALYSIS!G54</f>
        <v>23.29</v>
      </c>
      <c r="D48" s="41">
        <f t="shared" si="12"/>
        <v>15</v>
      </c>
      <c r="R48" cm="1">
        <f t="array" ref="R48">IF(AX48&gt;0,0,SUMPRODUCT((AX$25:AX$124=0)*($B$25:$B$124&gt;=$B48)*($B$25:$B$124&lt;=$B48+ANALYSIS!$G$5)*($C$25:$C$124&gt;=$C48)*($C$25:$C$124&lt;=$C48+ANALYSIS!$G$6)))</f>
        <v>1</v>
      </c>
      <c r="S48" cm="1">
        <f t="array" ref="S48">IF(AY48&gt;0,0,SUMPRODUCT((AY$25:AY$124=0)*($B$25:$B$124&gt;=$B48)*($B$25:$B$124&lt;=$B48+ANALYSIS!$G$5)*($C$25:$C$124&gt;=$C48)*($C$25:$C$124&lt;=$C48+ANALYSIS!$G$6)))</f>
        <v>1</v>
      </c>
      <c r="T48" cm="1">
        <f t="array" ref="T48">IF(AZ48&gt;0,0,SUMPRODUCT((AZ$25:AZ$124=0)*($B$25:$B$124&gt;=$B48)*($B$25:$B$124&lt;=$B48+ANALYSIS!$G$5)*($C$25:$C$124&gt;=$C48)*($C$25:$C$124&lt;=$C48+ANALYSIS!$G$6)))</f>
        <v>1</v>
      </c>
      <c r="U48" cm="1">
        <f t="array" ref="U48">IF(BA48&gt;0,0,SUMPRODUCT((BA$25:BA$124=0)*($B$25:$B$124&gt;=$B48)*($B$25:$B$124&lt;=$B48+ANALYSIS!$G$5)*($C$25:$C$124&gt;=$C48)*($C$25:$C$124&lt;=$C48+ANALYSIS!$G$6)))</f>
        <v>1</v>
      </c>
      <c r="V48" cm="1">
        <f t="array" ref="V48">IF(BB48&gt;0,0,SUMPRODUCT((BB$25:BB$124=0)*($B$25:$B$124&gt;=$B48)*($B$25:$B$124&lt;=$B48+ANALYSIS!$G$5)*($C$25:$C$124&gt;=$C48)*($C$25:$C$124&lt;=$C48+ANALYSIS!$G$6)))</f>
        <v>1</v>
      </c>
      <c r="W48" cm="1">
        <f t="array" ref="W48">IF(BC48&gt;0,0,SUMPRODUCT((BC$25:BC$124=0)*($B$25:$B$124&gt;=$B48)*($B$25:$B$124&lt;=$B48+ANALYSIS!$G$5)*($C$25:$C$124&gt;=$C48)*($C$25:$C$124&lt;=$C48+ANALYSIS!$G$6)))</f>
        <v>1</v>
      </c>
      <c r="X48" cm="1">
        <f t="array" ref="X48">IF(BD48&gt;0,0,SUMPRODUCT((BD$25:BD$124=0)*($B$25:$B$124&gt;=$B48)*($B$25:$B$124&lt;=$B48+ANALYSIS!$G$5)*($C$25:$C$124&gt;=$C48)*($C$25:$C$124&lt;=$C48+ANALYSIS!$G$6)))</f>
        <v>1</v>
      </c>
      <c r="Y48" cm="1">
        <f t="array" ref="Y48">IF(BE48&gt;0,0,SUMPRODUCT((BE$25:BE$124=0)*($B$25:$B$124&gt;=$B48)*($B$25:$B$124&lt;=$B48+ANALYSIS!$G$5)*($C$25:$C$124&gt;=$C48)*($C$25:$C$124&lt;=$C48+ANALYSIS!$G$6)))</f>
        <v>1</v>
      </c>
      <c r="Z48" cm="1">
        <f t="array" ref="Z48">IF(BF48&gt;0,0,SUMPRODUCT((BF$25:BF$124=0)*($B$25:$B$124&gt;=$B48)*($B$25:$B$124&lt;=$B48+ANALYSIS!$G$5)*($C$25:$C$124&gt;=$C48)*($C$25:$C$124&lt;=$C48+ANALYSIS!$G$6)))</f>
        <v>1</v>
      </c>
      <c r="AA48" cm="1">
        <f t="array" ref="AA48">IF(BG48&gt;0,0,SUMPRODUCT((BG$25:BG$124=0)*($B$25:$B$124&gt;=$B48)*($B$25:$B$124&lt;=$B48+ANALYSIS!$G$5)*($C$25:$C$124&gt;=$C48)*($C$25:$C$124&lt;=$C48+ANALYSIS!$G$6)))</f>
        <v>1</v>
      </c>
      <c r="AB48" cm="1">
        <f t="array" ref="AB48">IF(BH48&gt;0,0,SUMPRODUCT((BH$25:BH$124=0)*($B$25:$B$124&gt;=$B48)*($B$25:$B$124&lt;=$B48+ANALYSIS!$G$5)*($C$25:$C$124&gt;=$C48)*($C$25:$C$124&lt;=$C48+ANALYSIS!$G$6)))</f>
        <v>1</v>
      </c>
      <c r="AC48" cm="1">
        <f t="array" ref="AC48">IF(BI48&gt;0,0,SUMPRODUCT((BI$25:BI$124=0)*($B$25:$B$124&gt;=$B48)*($B$25:$B$124&lt;=$B48+ANALYSIS!$G$5)*($C$25:$C$124&gt;=$C48)*($C$25:$C$124&lt;=$C48+ANALYSIS!$G$6)))</f>
        <v>1</v>
      </c>
      <c r="AD48" cm="1">
        <f t="array" ref="AD48">IF(BJ48&gt;0,0,SUMPRODUCT((BJ$25:BJ$124=0)*($B$25:$B$124&gt;=$B48)*($B$25:$B$124&lt;=$B48+ANALYSIS!$G$5)*($C$25:$C$124&gt;=$C48)*($C$25:$C$124&lt;=$C48+ANALYSIS!$G$6)))</f>
        <v>1</v>
      </c>
      <c r="AE48" cm="1">
        <f t="array" ref="AE48">IF(BK48&gt;0,0,SUMPRODUCT((BK$25:BK$124=0)*($B$25:$B$124&gt;=$B48)*($B$25:$B$124&lt;=$B48+ANALYSIS!$G$5)*($C$25:$C$124&gt;=$C48)*($C$25:$C$124&lt;=$C48+ANALYSIS!$G$6)))</f>
        <v>1</v>
      </c>
      <c r="AF48" cm="1">
        <f t="array" ref="AF48">IF(BL48&gt;0,0,SUMPRODUCT((BL$25:BL$124=0)*($B$25:$B$124&gt;=$B48)*($B$25:$B$124&lt;=$B48+ANALYSIS!$G$5)*($C$25:$C$124&gt;=$C48)*($C$25:$C$124&lt;=$C48+ANALYSIS!$G$6)))</f>
        <v>1</v>
      </c>
      <c r="AH48">
        <f>IF(AND(AX48=0,$B48&gt;=R$22,$B48&lt;=R$22+ANALYSIS!$G$5,$C48&gt;=R$23,$C48&lt;=R$23+ANALYSIS!$G$6),1,0)</f>
        <v>0</v>
      </c>
      <c r="AI48">
        <f>IF(AND(AY48=0,$B48&gt;=S$22,$B48&lt;=S$22+ANALYSIS!$G$5,$C48&gt;=S$23,$C48&lt;=S$23+ANALYSIS!$G$6),1,0)</f>
        <v>0</v>
      </c>
      <c r="AJ48">
        <f>IF(AND(AZ48=0,$B48&gt;=T$22,$B48&lt;=T$22+ANALYSIS!$G$5,$C48&gt;=T$23,$C48&lt;=T$23+ANALYSIS!$G$6),1,0)</f>
        <v>0</v>
      </c>
      <c r="AK48">
        <f>IF(AND(BA48=0,$B48&gt;=U$22,$B48&lt;=U$22+ANALYSIS!$G$5,$C48&gt;=U$23,$C48&lt;=U$23+ANALYSIS!$G$6),1,0)</f>
        <v>0</v>
      </c>
      <c r="AL48">
        <f>IF(AND(BB48=0,$B48&gt;=V$22,$B48&lt;=V$22+ANALYSIS!$G$5,$C48&gt;=V$23,$C48&lt;=V$23+ANALYSIS!$G$6),1,0)</f>
        <v>0</v>
      </c>
      <c r="AM48">
        <f>IF(AND(BC48=0,$B48&gt;=W$22,$B48&lt;=W$22+ANALYSIS!$G$5,$C48&gt;=W$23,$C48&lt;=W$23+ANALYSIS!$G$6),1,0)</f>
        <v>0</v>
      </c>
      <c r="AN48">
        <f>IF(AND(BD48=0,$B48&gt;=X$22,$B48&lt;=X$22+ANALYSIS!$G$5,$C48&gt;=X$23,$C48&lt;=X$23+ANALYSIS!$G$6),1,0)</f>
        <v>0</v>
      </c>
      <c r="AO48">
        <f>IF(AND(BE48=0,$B48&gt;=Y$22,$B48&lt;=Y$22+ANALYSIS!$G$5,$C48&gt;=Y$23,$C48&lt;=Y$23+ANALYSIS!$G$6),1,0)</f>
        <v>0</v>
      </c>
      <c r="AP48">
        <f>IF(AND(BF48=0,$B48&gt;=Z$22,$B48&lt;=Z$22+ANALYSIS!$G$5,$C48&gt;=Z$23,$C48&lt;=Z$23+ANALYSIS!$G$6),1,0)</f>
        <v>0</v>
      </c>
      <c r="AQ48">
        <f>IF(AND(BG48=0,$B48&gt;=AA$22,$B48&lt;=AA$22+ANALYSIS!$G$5,$C48&gt;=AA$23,$C48&lt;=AA$23+ANALYSIS!$G$6),1,0)</f>
        <v>0</v>
      </c>
      <c r="AR48">
        <f>IF(AND(BH48=0,$B48&gt;=AB$22,$B48&lt;=AB$22+ANALYSIS!$G$5,$C48&gt;=AB$23,$C48&lt;=AB$23+ANALYSIS!$G$6),1,0)</f>
        <v>0</v>
      </c>
      <c r="AS48">
        <f>IF(AND(BI48=0,$B48&gt;=AC$22,$B48&lt;=AC$22+ANALYSIS!$G$5,$C48&gt;=AC$23,$C48&lt;=AC$23+ANALYSIS!$G$6),1,0)</f>
        <v>0</v>
      </c>
      <c r="AT48">
        <f>IF(AND(BJ48=0,$B48&gt;=AD$22,$B48&lt;=AD$22+ANALYSIS!$G$5,$C48&gt;=AD$23,$C48&lt;=AD$23+ANALYSIS!$G$6),1,0)</f>
        <v>0</v>
      </c>
      <c r="AU48">
        <f>IF(AND(BK48=0,$B48&gt;=AE$22,$B48&lt;=AE$22+ANALYSIS!$G$5,$C48&gt;=AE$23,$C48&lt;=AE$23+ANALYSIS!$G$6),1,0)</f>
        <v>0</v>
      </c>
      <c r="AV48">
        <f>IF(AND(BL48=0,$B48&gt;=AF$22,$B48&lt;=AF$22+ANALYSIS!$G$5,$C48&gt;=AF$23,$C48&lt;=AF$23+ANALYSIS!$G$6),1,0)</f>
        <v>1</v>
      </c>
      <c r="AX48">
        <v>0</v>
      </c>
      <c r="AY48">
        <f t="shared" si="13"/>
        <v>0</v>
      </c>
      <c r="AZ48">
        <f t="shared" si="14"/>
        <v>0</v>
      </c>
      <c r="BA48">
        <f t="shared" si="15"/>
        <v>0</v>
      </c>
      <c r="BB48">
        <f t="shared" si="16"/>
        <v>0</v>
      </c>
      <c r="BC48">
        <f t="shared" si="17"/>
        <v>0</v>
      </c>
      <c r="BD48">
        <f t="shared" si="18"/>
        <v>0</v>
      </c>
      <c r="BE48">
        <f t="shared" si="19"/>
        <v>0</v>
      </c>
      <c r="BF48">
        <f t="shared" si="20"/>
        <v>0</v>
      </c>
      <c r="BG48">
        <f t="shared" si="21"/>
        <v>0</v>
      </c>
      <c r="BH48">
        <f t="shared" si="22"/>
        <v>0</v>
      </c>
      <c r="BI48">
        <f t="shared" si="23"/>
        <v>0</v>
      </c>
      <c r="BJ48">
        <f t="shared" si="24"/>
        <v>0</v>
      </c>
      <c r="BK48">
        <f t="shared" si="25"/>
        <v>0</v>
      </c>
      <c r="BL48">
        <f t="shared" si="26"/>
        <v>0</v>
      </c>
      <c r="BM48">
        <f t="shared" si="27"/>
        <v>1</v>
      </c>
    </row>
    <row r="49" spans="1:65" x14ac:dyDescent="0.25">
      <c r="A49" s="41" t="str">
        <f>ANALYSIS!B55</f>
        <v>19-25</v>
      </c>
      <c r="B49" s="41">
        <f>ANALYSIS!E55</f>
        <v>57.5</v>
      </c>
      <c r="C49" s="41">
        <f>ANALYSIS!G55</f>
        <v>24.15</v>
      </c>
      <c r="D49" s="41">
        <f t="shared" si="12"/>
        <v>1</v>
      </c>
      <c r="R49" cm="1">
        <f t="array" ref="R49">IF(AX49&gt;0,0,SUMPRODUCT((AX$25:AX$124=0)*($B$25:$B$124&gt;=$B49)*($B$25:$B$124&lt;=$B49+ANALYSIS!$G$5)*($C$25:$C$124&gt;=$C49)*($C$25:$C$124&lt;=$C49+ANALYSIS!$G$6)))</f>
        <v>4</v>
      </c>
      <c r="S49" cm="1">
        <f t="array" ref="S49">IF(AY49&gt;0,0,SUMPRODUCT((AY$25:AY$124=0)*($B$25:$B$124&gt;=$B49)*($B$25:$B$124&lt;=$B49+ANALYSIS!$G$5)*($C$25:$C$124&gt;=$C49)*($C$25:$C$124&lt;=$C49+ANALYSIS!$G$6)))</f>
        <v>0</v>
      </c>
      <c r="T49" cm="1">
        <f t="array" ref="T49">IF(AZ49&gt;0,0,SUMPRODUCT((AZ$25:AZ$124=0)*($B$25:$B$124&gt;=$B49)*($B$25:$B$124&lt;=$B49+ANALYSIS!$G$5)*($C$25:$C$124&gt;=$C49)*($C$25:$C$124&lt;=$C49+ANALYSIS!$G$6)))</f>
        <v>0</v>
      </c>
      <c r="U49" cm="1">
        <f t="array" ref="U49">IF(BA49&gt;0,0,SUMPRODUCT((BA$25:BA$124=0)*($B$25:$B$124&gt;=$B49)*($B$25:$B$124&lt;=$B49+ANALYSIS!$G$5)*($C$25:$C$124&gt;=$C49)*($C$25:$C$124&lt;=$C49+ANALYSIS!$G$6)))</f>
        <v>0</v>
      </c>
      <c r="V49" cm="1">
        <f t="array" ref="V49">IF(BB49&gt;0,0,SUMPRODUCT((BB$25:BB$124=0)*($B$25:$B$124&gt;=$B49)*($B$25:$B$124&lt;=$B49+ANALYSIS!$G$5)*($C$25:$C$124&gt;=$C49)*($C$25:$C$124&lt;=$C49+ANALYSIS!$G$6)))</f>
        <v>0</v>
      </c>
      <c r="W49" cm="1">
        <f t="array" ref="W49">IF(BC49&gt;0,0,SUMPRODUCT((BC$25:BC$124=0)*($B$25:$B$124&gt;=$B49)*($B$25:$B$124&lt;=$B49+ANALYSIS!$G$5)*($C$25:$C$124&gt;=$C49)*($C$25:$C$124&lt;=$C49+ANALYSIS!$G$6)))</f>
        <v>0</v>
      </c>
      <c r="X49" cm="1">
        <f t="array" ref="X49">IF(BD49&gt;0,0,SUMPRODUCT((BD$25:BD$124=0)*($B$25:$B$124&gt;=$B49)*($B$25:$B$124&lt;=$B49+ANALYSIS!$G$5)*($C$25:$C$124&gt;=$C49)*($C$25:$C$124&lt;=$C49+ANALYSIS!$G$6)))</f>
        <v>0</v>
      </c>
      <c r="Y49" cm="1">
        <f t="array" ref="Y49">IF(BE49&gt;0,0,SUMPRODUCT((BE$25:BE$124=0)*($B$25:$B$124&gt;=$B49)*($B$25:$B$124&lt;=$B49+ANALYSIS!$G$5)*($C$25:$C$124&gt;=$C49)*($C$25:$C$124&lt;=$C49+ANALYSIS!$G$6)))</f>
        <v>0</v>
      </c>
      <c r="Z49" cm="1">
        <f t="array" ref="Z49">IF(BF49&gt;0,0,SUMPRODUCT((BF$25:BF$124=0)*($B$25:$B$124&gt;=$B49)*($B$25:$B$124&lt;=$B49+ANALYSIS!$G$5)*($C$25:$C$124&gt;=$C49)*($C$25:$C$124&lt;=$C49+ANALYSIS!$G$6)))</f>
        <v>0</v>
      </c>
      <c r="AA49" cm="1">
        <f t="array" ref="AA49">IF(BG49&gt;0,0,SUMPRODUCT((BG$25:BG$124=0)*($B$25:$B$124&gt;=$B49)*($B$25:$B$124&lt;=$B49+ANALYSIS!$G$5)*($C$25:$C$124&gt;=$C49)*($C$25:$C$124&lt;=$C49+ANALYSIS!$G$6)))</f>
        <v>0</v>
      </c>
      <c r="AB49" cm="1">
        <f t="array" ref="AB49">IF(BH49&gt;0,0,SUMPRODUCT((BH$25:BH$124=0)*($B$25:$B$124&gt;=$B49)*($B$25:$B$124&lt;=$B49+ANALYSIS!$G$5)*($C$25:$C$124&gt;=$C49)*($C$25:$C$124&lt;=$C49+ANALYSIS!$G$6)))</f>
        <v>0</v>
      </c>
      <c r="AC49" cm="1">
        <f t="array" ref="AC49">IF(BI49&gt;0,0,SUMPRODUCT((BI$25:BI$124=0)*($B$25:$B$124&gt;=$B49)*($B$25:$B$124&lt;=$B49+ANALYSIS!$G$5)*($C$25:$C$124&gt;=$C49)*($C$25:$C$124&lt;=$C49+ANALYSIS!$G$6)))</f>
        <v>0</v>
      </c>
      <c r="AD49" cm="1">
        <f t="array" ref="AD49">IF(BJ49&gt;0,0,SUMPRODUCT((BJ$25:BJ$124=0)*($B$25:$B$124&gt;=$B49)*($B$25:$B$124&lt;=$B49+ANALYSIS!$G$5)*($C$25:$C$124&gt;=$C49)*($C$25:$C$124&lt;=$C49+ANALYSIS!$G$6)))</f>
        <v>0</v>
      </c>
      <c r="AE49" cm="1">
        <f t="array" ref="AE49">IF(BK49&gt;0,0,SUMPRODUCT((BK$25:BK$124=0)*($B$25:$B$124&gt;=$B49)*($B$25:$B$124&lt;=$B49+ANALYSIS!$G$5)*($C$25:$C$124&gt;=$C49)*($C$25:$C$124&lt;=$C49+ANALYSIS!$G$6)))</f>
        <v>0</v>
      </c>
      <c r="AF49" cm="1">
        <f t="array" ref="AF49">IF(BL49&gt;0,0,SUMPRODUCT((BL$25:BL$124=0)*($B$25:$B$124&gt;=$B49)*($B$25:$B$124&lt;=$B49+ANALYSIS!$G$5)*($C$25:$C$124&gt;=$C49)*($C$25:$C$124&lt;=$C49+ANALYSIS!$G$6)))</f>
        <v>0</v>
      </c>
      <c r="AH49">
        <f>IF(AND(AX49=0,$B49&gt;=R$22,$B49&lt;=R$22+ANALYSIS!$G$5,$C49&gt;=R$23,$C49&lt;=R$23+ANALYSIS!$G$6),1,0)</f>
        <v>1</v>
      </c>
      <c r="AI49">
        <f>IF(AND(AY49=0,$B49&gt;=S$22,$B49&lt;=S$22+ANALYSIS!$G$5,$C49&gt;=S$23,$C49&lt;=S$23+ANALYSIS!$G$6),1,0)</f>
        <v>0</v>
      </c>
      <c r="AJ49">
        <f>IF(AND(AZ49=0,$B49&gt;=T$22,$B49&lt;=T$22+ANALYSIS!$G$5,$C49&gt;=T$23,$C49&lt;=T$23+ANALYSIS!$G$6),1,0)</f>
        <v>0</v>
      </c>
      <c r="AK49">
        <f>IF(AND(BA49=0,$B49&gt;=U$22,$B49&lt;=U$22+ANALYSIS!$G$5,$C49&gt;=U$23,$C49&lt;=U$23+ANALYSIS!$G$6),1,0)</f>
        <v>0</v>
      </c>
      <c r="AL49">
        <f>IF(AND(BB49=0,$B49&gt;=V$22,$B49&lt;=V$22+ANALYSIS!$G$5,$C49&gt;=V$23,$C49&lt;=V$23+ANALYSIS!$G$6),1,0)</f>
        <v>0</v>
      </c>
      <c r="AM49">
        <f>IF(AND(BC49=0,$B49&gt;=W$22,$B49&lt;=W$22+ANALYSIS!$G$5,$C49&gt;=W$23,$C49&lt;=W$23+ANALYSIS!$G$6),1,0)</f>
        <v>0</v>
      </c>
      <c r="AN49">
        <f>IF(AND(BD49=0,$B49&gt;=X$22,$B49&lt;=X$22+ANALYSIS!$G$5,$C49&gt;=X$23,$C49&lt;=X$23+ANALYSIS!$G$6),1,0)</f>
        <v>0</v>
      </c>
      <c r="AO49">
        <f>IF(AND(BE49=0,$B49&gt;=Y$22,$B49&lt;=Y$22+ANALYSIS!$G$5,$C49&gt;=Y$23,$C49&lt;=Y$23+ANALYSIS!$G$6),1,0)</f>
        <v>0</v>
      </c>
      <c r="AP49">
        <f>IF(AND(BF49=0,$B49&gt;=Z$22,$B49&lt;=Z$22+ANALYSIS!$G$5,$C49&gt;=Z$23,$C49&lt;=Z$23+ANALYSIS!$G$6),1,0)</f>
        <v>0</v>
      </c>
      <c r="AQ49">
        <f>IF(AND(BG49=0,$B49&gt;=AA$22,$B49&lt;=AA$22+ANALYSIS!$G$5,$C49&gt;=AA$23,$C49&lt;=AA$23+ANALYSIS!$G$6),1,0)</f>
        <v>0</v>
      </c>
      <c r="AR49">
        <f>IF(AND(BH49=0,$B49&gt;=AB$22,$B49&lt;=AB$22+ANALYSIS!$G$5,$C49&gt;=AB$23,$C49&lt;=AB$23+ANALYSIS!$G$6),1,0)</f>
        <v>0</v>
      </c>
      <c r="AS49">
        <f>IF(AND(BI49=0,$B49&gt;=AC$22,$B49&lt;=AC$22+ANALYSIS!$G$5,$C49&gt;=AC$23,$C49&lt;=AC$23+ANALYSIS!$G$6),1,0)</f>
        <v>0</v>
      </c>
      <c r="AT49">
        <f>IF(AND(BJ49=0,$B49&gt;=AD$22,$B49&lt;=AD$22+ANALYSIS!$G$5,$C49&gt;=AD$23,$C49&lt;=AD$23+ANALYSIS!$G$6),1,0)</f>
        <v>0</v>
      </c>
      <c r="AU49">
        <f>IF(AND(BK49=0,$B49&gt;=AE$22,$B49&lt;=AE$22+ANALYSIS!$G$5,$C49&gt;=AE$23,$C49&lt;=AE$23+ANALYSIS!$G$6),1,0)</f>
        <v>0</v>
      </c>
      <c r="AV49">
        <f>IF(AND(BL49=0,$B49&gt;=AF$22,$B49&lt;=AF$22+ANALYSIS!$G$5,$C49&gt;=AF$23,$C49&lt;=AF$23+ANALYSIS!$G$6),1,0)</f>
        <v>0</v>
      </c>
      <c r="AX49">
        <v>0</v>
      </c>
      <c r="AY49">
        <f t="shared" si="13"/>
        <v>1</v>
      </c>
      <c r="AZ49">
        <f t="shared" si="14"/>
        <v>1</v>
      </c>
      <c r="BA49">
        <f t="shared" si="15"/>
        <v>1</v>
      </c>
      <c r="BB49">
        <f t="shared" si="16"/>
        <v>1</v>
      </c>
      <c r="BC49">
        <f t="shared" si="17"/>
        <v>1</v>
      </c>
      <c r="BD49">
        <f t="shared" si="18"/>
        <v>1</v>
      </c>
      <c r="BE49">
        <f t="shared" si="19"/>
        <v>1</v>
      </c>
      <c r="BF49">
        <f t="shared" si="20"/>
        <v>1</v>
      </c>
      <c r="BG49">
        <f t="shared" si="21"/>
        <v>1</v>
      </c>
      <c r="BH49">
        <f t="shared" si="22"/>
        <v>1</v>
      </c>
      <c r="BI49">
        <f t="shared" si="23"/>
        <v>1</v>
      </c>
      <c r="BJ49">
        <f t="shared" si="24"/>
        <v>1</v>
      </c>
      <c r="BK49">
        <f t="shared" si="25"/>
        <v>1</v>
      </c>
      <c r="BL49">
        <f t="shared" si="26"/>
        <v>1</v>
      </c>
      <c r="BM49">
        <f t="shared" si="27"/>
        <v>1</v>
      </c>
    </row>
    <row r="50" spans="1:65" x14ac:dyDescent="0.25">
      <c r="A50" s="41" t="str">
        <f>ANALYSIS!B56</f>
        <v>19-26</v>
      </c>
      <c r="B50" s="41">
        <f>ANALYSIS!E56</f>
        <v>51</v>
      </c>
      <c r="C50" s="41">
        <f>ANALYSIS!G56</f>
        <v>25.82</v>
      </c>
      <c r="D50" s="41" t="str">
        <f t="shared" si="12"/>
        <v/>
      </c>
      <c r="R50" cm="1">
        <f t="array" ref="R50">IF(AX50&gt;0,0,SUMPRODUCT((AX$25:AX$124=0)*($B$25:$B$124&gt;=$B50)*($B$25:$B$124&lt;=$B50+ANALYSIS!$G$5)*($C$25:$C$124&gt;=$C50)*($C$25:$C$124&lt;=$C50+ANALYSIS!$G$6)))</f>
        <v>1</v>
      </c>
      <c r="S50" cm="1">
        <f t="array" ref="S50">IF(AY50&gt;0,0,SUMPRODUCT((AY$25:AY$124=0)*($B$25:$B$124&gt;=$B50)*($B$25:$B$124&lt;=$B50+ANALYSIS!$G$5)*($C$25:$C$124&gt;=$C50)*($C$25:$C$124&lt;=$C50+ANALYSIS!$G$6)))</f>
        <v>1</v>
      </c>
      <c r="T50" cm="1">
        <f t="array" ref="T50">IF(AZ50&gt;0,0,SUMPRODUCT((AZ$25:AZ$124=0)*($B$25:$B$124&gt;=$B50)*($B$25:$B$124&lt;=$B50+ANALYSIS!$G$5)*($C$25:$C$124&gt;=$C50)*($C$25:$C$124&lt;=$C50+ANALYSIS!$G$6)))</f>
        <v>1</v>
      </c>
      <c r="U50" cm="1">
        <f t="array" ref="U50">IF(BA50&gt;0,0,SUMPRODUCT((BA$25:BA$124=0)*($B$25:$B$124&gt;=$B50)*($B$25:$B$124&lt;=$B50+ANALYSIS!$G$5)*($C$25:$C$124&gt;=$C50)*($C$25:$C$124&lt;=$C50+ANALYSIS!$G$6)))</f>
        <v>1</v>
      </c>
      <c r="V50" cm="1">
        <f t="array" ref="V50">IF(BB50&gt;0,0,SUMPRODUCT((BB$25:BB$124=0)*($B$25:$B$124&gt;=$B50)*($B$25:$B$124&lt;=$B50+ANALYSIS!$G$5)*($C$25:$C$124&gt;=$C50)*($C$25:$C$124&lt;=$C50+ANALYSIS!$G$6)))</f>
        <v>1</v>
      </c>
      <c r="W50" cm="1">
        <f t="array" ref="W50">IF(BC50&gt;0,0,SUMPRODUCT((BC$25:BC$124=0)*($B$25:$B$124&gt;=$B50)*($B$25:$B$124&lt;=$B50+ANALYSIS!$G$5)*($C$25:$C$124&gt;=$C50)*($C$25:$C$124&lt;=$C50+ANALYSIS!$G$6)))</f>
        <v>1</v>
      </c>
      <c r="X50" cm="1">
        <f t="array" ref="X50">IF(BD50&gt;0,0,SUMPRODUCT((BD$25:BD$124=0)*($B$25:$B$124&gt;=$B50)*($B$25:$B$124&lt;=$B50+ANALYSIS!$G$5)*($C$25:$C$124&gt;=$C50)*($C$25:$C$124&lt;=$C50+ANALYSIS!$G$6)))</f>
        <v>1</v>
      </c>
      <c r="Y50" cm="1">
        <f t="array" ref="Y50">IF(BE50&gt;0,0,SUMPRODUCT((BE$25:BE$124=0)*($B$25:$B$124&gt;=$B50)*($B$25:$B$124&lt;=$B50+ANALYSIS!$G$5)*($C$25:$C$124&gt;=$C50)*($C$25:$C$124&lt;=$C50+ANALYSIS!$G$6)))</f>
        <v>1</v>
      </c>
      <c r="Z50" cm="1">
        <f t="array" ref="Z50">IF(BF50&gt;0,0,SUMPRODUCT((BF$25:BF$124=0)*($B$25:$B$124&gt;=$B50)*($B$25:$B$124&lt;=$B50+ANALYSIS!$G$5)*($C$25:$C$124&gt;=$C50)*($C$25:$C$124&lt;=$C50+ANALYSIS!$G$6)))</f>
        <v>1</v>
      </c>
      <c r="AA50" cm="1">
        <f t="array" ref="AA50">IF(BG50&gt;0,0,SUMPRODUCT((BG$25:BG$124=0)*($B$25:$B$124&gt;=$B50)*($B$25:$B$124&lt;=$B50+ANALYSIS!$G$5)*($C$25:$C$124&gt;=$C50)*($C$25:$C$124&lt;=$C50+ANALYSIS!$G$6)))</f>
        <v>1</v>
      </c>
      <c r="AB50" cm="1">
        <f t="array" ref="AB50">IF(BH50&gt;0,0,SUMPRODUCT((BH$25:BH$124=0)*($B$25:$B$124&gt;=$B50)*($B$25:$B$124&lt;=$B50+ANALYSIS!$G$5)*($C$25:$C$124&gt;=$C50)*($C$25:$C$124&lt;=$C50+ANALYSIS!$G$6)))</f>
        <v>1</v>
      </c>
      <c r="AC50" cm="1">
        <f t="array" ref="AC50">IF(BI50&gt;0,0,SUMPRODUCT((BI$25:BI$124=0)*($B$25:$B$124&gt;=$B50)*($B$25:$B$124&lt;=$B50+ANALYSIS!$G$5)*($C$25:$C$124&gt;=$C50)*($C$25:$C$124&lt;=$C50+ANALYSIS!$G$6)))</f>
        <v>1</v>
      </c>
      <c r="AD50" cm="1">
        <f t="array" ref="AD50">IF(BJ50&gt;0,0,SUMPRODUCT((BJ$25:BJ$124=0)*($B$25:$B$124&gt;=$B50)*($B$25:$B$124&lt;=$B50+ANALYSIS!$G$5)*($C$25:$C$124&gt;=$C50)*($C$25:$C$124&lt;=$C50+ANALYSIS!$G$6)))</f>
        <v>1</v>
      </c>
      <c r="AE50" cm="1">
        <f t="array" ref="AE50">IF(BK50&gt;0,0,SUMPRODUCT((BK$25:BK$124=0)*($B$25:$B$124&gt;=$B50)*($B$25:$B$124&lt;=$B50+ANALYSIS!$G$5)*($C$25:$C$124&gt;=$C50)*($C$25:$C$124&lt;=$C50+ANALYSIS!$G$6)))</f>
        <v>1</v>
      </c>
      <c r="AF50" cm="1">
        <f t="array" ref="AF50">IF(BL50&gt;0,0,SUMPRODUCT((BL$25:BL$124=0)*($B$25:$B$124&gt;=$B50)*($B$25:$B$124&lt;=$B50+ANALYSIS!$G$5)*($C$25:$C$124&gt;=$C50)*($C$25:$C$124&lt;=$C50+ANALYSIS!$G$6)))</f>
        <v>1</v>
      </c>
      <c r="AH50">
        <f>IF(AND(AX50=0,$B50&gt;=R$22,$B50&lt;=R$22+ANALYSIS!$G$5,$C50&gt;=R$23,$C50&lt;=R$23+ANALYSIS!$G$6),1,0)</f>
        <v>0</v>
      </c>
      <c r="AI50">
        <f>IF(AND(AY50=0,$B50&gt;=S$22,$B50&lt;=S$22+ANALYSIS!$G$5,$C50&gt;=S$23,$C50&lt;=S$23+ANALYSIS!$G$6),1,0)</f>
        <v>0</v>
      </c>
      <c r="AJ50">
        <f>IF(AND(AZ50=0,$B50&gt;=T$22,$B50&lt;=T$22+ANALYSIS!$G$5,$C50&gt;=T$23,$C50&lt;=T$23+ANALYSIS!$G$6),1,0)</f>
        <v>0</v>
      </c>
      <c r="AK50">
        <f>IF(AND(BA50=0,$B50&gt;=U$22,$B50&lt;=U$22+ANALYSIS!$G$5,$C50&gt;=U$23,$C50&lt;=U$23+ANALYSIS!$G$6),1,0)</f>
        <v>0</v>
      </c>
      <c r="AL50">
        <f>IF(AND(BB50=0,$B50&gt;=V$22,$B50&lt;=V$22+ANALYSIS!$G$5,$C50&gt;=V$23,$C50&lt;=V$23+ANALYSIS!$G$6),1,0)</f>
        <v>0</v>
      </c>
      <c r="AM50">
        <f>IF(AND(BC50=0,$B50&gt;=W$22,$B50&lt;=W$22+ANALYSIS!$G$5,$C50&gt;=W$23,$C50&lt;=W$23+ANALYSIS!$G$6),1,0)</f>
        <v>0</v>
      </c>
      <c r="AN50">
        <f>IF(AND(BD50=0,$B50&gt;=X$22,$B50&lt;=X$22+ANALYSIS!$G$5,$C50&gt;=X$23,$C50&lt;=X$23+ANALYSIS!$G$6),1,0)</f>
        <v>0</v>
      </c>
      <c r="AO50">
        <f>IF(AND(BE50=0,$B50&gt;=Y$22,$B50&lt;=Y$22+ANALYSIS!$G$5,$C50&gt;=Y$23,$C50&lt;=Y$23+ANALYSIS!$G$6),1,0)</f>
        <v>0</v>
      </c>
      <c r="AP50">
        <f>IF(AND(BF50=0,$B50&gt;=Z$22,$B50&lt;=Z$22+ANALYSIS!$G$5,$C50&gt;=Z$23,$C50&lt;=Z$23+ANALYSIS!$G$6),1,0)</f>
        <v>0</v>
      </c>
      <c r="AQ50">
        <f>IF(AND(BG50=0,$B50&gt;=AA$22,$B50&lt;=AA$22+ANALYSIS!$G$5,$C50&gt;=AA$23,$C50&lt;=AA$23+ANALYSIS!$G$6),1,0)</f>
        <v>0</v>
      </c>
      <c r="AR50">
        <f>IF(AND(BH50=0,$B50&gt;=AB$22,$B50&lt;=AB$22+ANALYSIS!$G$5,$C50&gt;=AB$23,$C50&lt;=AB$23+ANALYSIS!$G$6),1,0)</f>
        <v>0</v>
      </c>
      <c r="AS50">
        <f>IF(AND(BI50=0,$B50&gt;=AC$22,$B50&lt;=AC$22+ANALYSIS!$G$5,$C50&gt;=AC$23,$C50&lt;=AC$23+ANALYSIS!$G$6),1,0)</f>
        <v>0</v>
      </c>
      <c r="AT50">
        <f>IF(AND(BJ50=0,$B50&gt;=AD$22,$B50&lt;=AD$22+ANALYSIS!$G$5,$C50&gt;=AD$23,$C50&lt;=AD$23+ANALYSIS!$G$6),1,0)</f>
        <v>0</v>
      </c>
      <c r="AU50">
        <f>IF(AND(BK50=0,$B50&gt;=AE$22,$B50&lt;=AE$22+ANALYSIS!$G$5,$C50&gt;=AE$23,$C50&lt;=AE$23+ANALYSIS!$G$6),1,0)</f>
        <v>0</v>
      </c>
      <c r="AV50">
        <f>IF(AND(BL50=0,$B50&gt;=AF$22,$B50&lt;=AF$22+ANALYSIS!$G$5,$C50&gt;=AF$23,$C50&lt;=AF$23+ANALYSIS!$G$6),1,0)</f>
        <v>0</v>
      </c>
      <c r="AX50">
        <v>0</v>
      </c>
      <c r="AY50">
        <f t="shared" si="13"/>
        <v>0</v>
      </c>
      <c r="AZ50">
        <f t="shared" si="14"/>
        <v>0</v>
      </c>
      <c r="BA50">
        <f t="shared" si="15"/>
        <v>0</v>
      </c>
      <c r="BB50">
        <f t="shared" si="16"/>
        <v>0</v>
      </c>
      <c r="BC50">
        <f t="shared" si="17"/>
        <v>0</v>
      </c>
      <c r="BD50">
        <f t="shared" si="18"/>
        <v>0</v>
      </c>
      <c r="BE50">
        <f t="shared" si="19"/>
        <v>0</v>
      </c>
      <c r="BF50">
        <f t="shared" si="20"/>
        <v>0</v>
      </c>
      <c r="BG50">
        <f t="shared" si="21"/>
        <v>0</v>
      </c>
      <c r="BH50">
        <f t="shared" si="22"/>
        <v>0</v>
      </c>
      <c r="BI50">
        <f t="shared" si="23"/>
        <v>0</v>
      </c>
      <c r="BJ50">
        <f t="shared" si="24"/>
        <v>0</v>
      </c>
      <c r="BK50">
        <f t="shared" si="25"/>
        <v>0</v>
      </c>
      <c r="BL50">
        <f t="shared" si="26"/>
        <v>0</v>
      </c>
      <c r="BM50">
        <f t="shared" si="27"/>
        <v>0</v>
      </c>
    </row>
    <row r="51" spans="1:65" x14ac:dyDescent="0.25">
      <c r="A51" s="41" t="str">
        <f>ANALYSIS!B57</f>
        <v>19-27</v>
      </c>
      <c r="B51" s="41">
        <f>ANALYSIS!E57</f>
        <v>59</v>
      </c>
      <c r="C51" s="41">
        <f>ANALYSIS!G57</f>
        <v>26.03</v>
      </c>
      <c r="D51" s="41">
        <f t="shared" si="12"/>
        <v>11</v>
      </c>
      <c r="R51" cm="1">
        <f t="array" ref="R51">IF(AX51&gt;0,0,SUMPRODUCT((AX$25:AX$124=0)*($B$25:$B$124&gt;=$B51)*($B$25:$B$124&lt;=$B51+ANALYSIS!$G$5)*($C$25:$C$124&gt;=$C51)*($C$25:$C$124&lt;=$C51+ANALYSIS!$G$6)))</f>
        <v>1</v>
      </c>
      <c r="S51" cm="1">
        <f t="array" ref="S51">IF(AY51&gt;0,0,SUMPRODUCT((AY$25:AY$124=0)*($B$25:$B$124&gt;=$B51)*($B$25:$B$124&lt;=$B51+ANALYSIS!$G$5)*($C$25:$C$124&gt;=$C51)*($C$25:$C$124&lt;=$C51+ANALYSIS!$G$6)))</f>
        <v>1</v>
      </c>
      <c r="T51" cm="1">
        <f t="array" ref="T51">IF(AZ51&gt;0,0,SUMPRODUCT((AZ$25:AZ$124=0)*($B$25:$B$124&gt;=$B51)*($B$25:$B$124&lt;=$B51+ANALYSIS!$G$5)*($C$25:$C$124&gt;=$C51)*($C$25:$C$124&lt;=$C51+ANALYSIS!$G$6)))</f>
        <v>1</v>
      </c>
      <c r="U51" cm="1">
        <f t="array" ref="U51">IF(BA51&gt;0,0,SUMPRODUCT((BA$25:BA$124=0)*($B$25:$B$124&gt;=$B51)*($B$25:$B$124&lt;=$B51+ANALYSIS!$G$5)*($C$25:$C$124&gt;=$C51)*($C$25:$C$124&lt;=$C51+ANALYSIS!$G$6)))</f>
        <v>1</v>
      </c>
      <c r="V51" cm="1">
        <f t="array" ref="V51">IF(BB51&gt;0,0,SUMPRODUCT((BB$25:BB$124=0)*($B$25:$B$124&gt;=$B51)*($B$25:$B$124&lt;=$B51+ANALYSIS!$G$5)*($C$25:$C$124&gt;=$C51)*($C$25:$C$124&lt;=$C51+ANALYSIS!$G$6)))</f>
        <v>1</v>
      </c>
      <c r="W51" cm="1">
        <f t="array" ref="W51">IF(BC51&gt;0,0,SUMPRODUCT((BC$25:BC$124=0)*($B$25:$B$124&gt;=$B51)*($B$25:$B$124&lt;=$B51+ANALYSIS!$G$5)*($C$25:$C$124&gt;=$C51)*($C$25:$C$124&lt;=$C51+ANALYSIS!$G$6)))</f>
        <v>1</v>
      </c>
      <c r="X51" cm="1">
        <f t="array" ref="X51">IF(BD51&gt;0,0,SUMPRODUCT((BD$25:BD$124=0)*($B$25:$B$124&gt;=$B51)*($B$25:$B$124&lt;=$B51+ANALYSIS!$G$5)*($C$25:$C$124&gt;=$C51)*($C$25:$C$124&lt;=$C51+ANALYSIS!$G$6)))</f>
        <v>1</v>
      </c>
      <c r="Y51" cm="1">
        <f t="array" ref="Y51">IF(BE51&gt;0,0,SUMPRODUCT((BE$25:BE$124=0)*($B$25:$B$124&gt;=$B51)*($B$25:$B$124&lt;=$B51+ANALYSIS!$G$5)*($C$25:$C$124&gt;=$C51)*($C$25:$C$124&lt;=$C51+ANALYSIS!$G$6)))</f>
        <v>1</v>
      </c>
      <c r="Z51" cm="1">
        <f t="array" ref="Z51">IF(BF51&gt;0,0,SUMPRODUCT((BF$25:BF$124=0)*($B$25:$B$124&gt;=$B51)*($B$25:$B$124&lt;=$B51+ANALYSIS!$G$5)*($C$25:$C$124&gt;=$C51)*($C$25:$C$124&lt;=$C51+ANALYSIS!$G$6)))</f>
        <v>1</v>
      </c>
      <c r="AA51" cm="1">
        <f t="array" ref="AA51">IF(BG51&gt;0,0,SUMPRODUCT((BG$25:BG$124=0)*($B$25:$B$124&gt;=$B51)*($B$25:$B$124&lt;=$B51+ANALYSIS!$G$5)*($C$25:$C$124&gt;=$C51)*($C$25:$C$124&lt;=$C51+ANALYSIS!$G$6)))</f>
        <v>1</v>
      </c>
      <c r="AB51" cm="1">
        <f t="array" ref="AB51">IF(BH51&gt;0,0,SUMPRODUCT((BH$25:BH$124=0)*($B$25:$B$124&gt;=$B51)*($B$25:$B$124&lt;=$B51+ANALYSIS!$G$5)*($C$25:$C$124&gt;=$C51)*($C$25:$C$124&lt;=$C51+ANALYSIS!$G$6)))</f>
        <v>1</v>
      </c>
      <c r="AC51" cm="1">
        <f t="array" ref="AC51">IF(BI51&gt;0,0,SUMPRODUCT((BI$25:BI$124=0)*($B$25:$B$124&gt;=$B51)*($B$25:$B$124&lt;=$B51+ANALYSIS!$G$5)*($C$25:$C$124&gt;=$C51)*($C$25:$C$124&lt;=$C51+ANALYSIS!$G$6)))</f>
        <v>0</v>
      </c>
      <c r="AD51" cm="1">
        <f t="array" ref="AD51">IF(BJ51&gt;0,0,SUMPRODUCT((BJ$25:BJ$124=0)*($B$25:$B$124&gt;=$B51)*($B$25:$B$124&lt;=$B51+ANALYSIS!$G$5)*($C$25:$C$124&gt;=$C51)*($C$25:$C$124&lt;=$C51+ANALYSIS!$G$6)))</f>
        <v>0</v>
      </c>
      <c r="AE51" cm="1">
        <f t="array" ref="AE51">IF(BK51&gt;0,0,SUMPRODUCT((BK$25:BK$124=0)*($B$25:$B$124&gt;=$B51)*($B$25:$B$124&lt;=$B51+ANALYSIS!$G$5)*($C$25:$C$124&gt;=$C51)*($C$25:$C$124&lt;=$C51+ANALYSIS!$G$6)))</f>
        <v>0</v>
      </c>
      <c r="AF51" cm="1">
        <f t="array" ref="AF51">IF(BL51&gt;0,0,SUMPRODUCT((BL$25:BL$124=0)*($B$25:$B$124&gt;=$B51)*($B$25:$B$124&lt;=$B51+ANALYSIS!$G$5)*($C$25:$C$124&gt;=$C51)*($C$25:$C$124&lt;=$C51+ANALYSIS!$G$6)))</f>
        <v>0</v>
      </c>
      <c r="AH51">
        <f>IF(AND(AX51=0,$B51&gt;=R$22,$B51&lt;=R$22+ANALYSIS!$G$5,$C51&gt;=R$23,$C51&lt;=R$23+ANALYSIS!$G$6),1,0)</f>
        <v>0</v>
      </c>
      <c r="AI51">
        <f>IF(AND(AY51=0,$B51&gt;=S$22,$B51&lt;=S$22+ANALYSIS!$G$5,$C51&gt;=S$23,$C51&lt;=S$23+ANALYSIS!$G$6),1,0)</f>
        <v>0</v>
      </c>
      <c r="AJ51">
        <f>IF(AND(AZ51=0,$B51&gt;=T$22,$B51&lt;=T$22+ANALYSIS!$G$5,$C51&gt;=T$23,$C51&lt;=T$23+ANALYSIS!$G$6),1,0)</f>
        <v>0</v>
      </c>
      <c r="AK51">
        <f>IF(AND(BA51=0,$B51&gt;=U$22,$B51&lt;=U$22+ANALYSIS!$G$5,$C51&gt;=U$23,$C51&lt;=U$23+ANALYSIS!$G$6),1,0)</f>
        <v>0</v>
      </c>
      <c r="AL51">
        <f>IF(AND(BB51=0,$B51&gt;=V$22,$B51&lt;=V$22+ANALYSIS!$G$5,$C51&gt;=V$23,$C51&lt;=V$23+ANALYSIS!$G$6),1,0)</f>
        <v>0</v>
      </c>
      <c r="AM51">
        <f>IF(AND(BC51=0,$B51&gt;=W$22,$B51&lt;=W$22+ANALYSIS!$G$5,$C51&gt;=W$23,$C51&lt;=W$23+ANALYSIS!$G$6),1,0)</f>
        <v>0</v>
      </c>
      <c r="AN51">
        <f>IF(AND(BD51=0,$B51&gt;=X$22,$B51&lt;=X$22+ANALYSIS!$G$5,$C51&gt;=X$23,$C51&lt;=X$23+ANALYSIS!$G$6),1,0)</f>
        <v>0</v>
      </c>
      <c r="AO51">
        <f>IF(AND(BE51=0,$B51&gt;=Y$22,$B51&lt;=Y$22+ANALYSIS!$G$5,$C51&gt;=Y$23,$C51&lt;=Y$23+ANALYSIS!$G$6),1,0)</f>
        <v>0</v>
      </c>
      <c r="AP51">
        <f>IF(AND(BF51=0,$B51&gt;=Z$22,$B51&lt;=Z$22+ANALYSIS!$G$5,$C51&gt;=Z$23,$C51&lt;=Z$23+ANALYSIS!$G$6),1,0)</f>
        <v>0</v>
      </c>
      <c r="AQ51">
        <f>IF(AND(BG51=0,$B51&gt;=AA$22,$B51&lt;=AA$22+ANALYSIS!$G$5,$C51&gt;=AA$23,$C51&lt;=AA$23+ANALYSIS!$G$6),1,0)</f>
        <v>0</v>
      </c>
      <c r="AR51">
        <f>IF(AND(BH51=0,$B51&gt;=AB$22,$B51&lt;=AB$22+ANALYSIS!$G$5,$C51&gt;=AB$23,$C51&lt;=AB$23+ANALYSIS!$G$6),1,0)</f>
        <v>1</v>
      </c>
      <c r="AS51">
        <f>IF(AND(BI51=0,$B51&gt;=AC$22,$B51&lt;=AC$22+ANALYSIS!$G$5,$C51&gt;=AC$23,$C51&lt;=AC$23+ANALYSIS!$G$6),1,0)</f>
        <v>0</v>
      </c>
      <c r="AT51">
        <f>IF(AND(BJ51=0,$B51&gt;=AD$22,$B51&lt;=AD$22+ANALYSIS!$G$5,$C51&gt;=AD$23,$C51&lt;=AD$23+ANALYSIS!$G$6),1,0)</f>
        <v>0</v>
      </c>
      <c r="AU51">
        <f>IF(AND(BK51=0,$B51&gt;=AE$22,$B51&lt;=AE$22+ANALYSIS!$G$5,$C51&gt;=AE$23,$C51&lt;=AE$23+ANALYSIS!$G$6),1,0)</f>
        <v>0</v>
      </c>
      <c r="AV51">
        <f>IF(AND(BL51=0,$B51&gt;=AF$22,$B51&lt;=AF$22+ANALYSIS!$G$5,$C51&gt;=AF$23,$C51&lt;=AF$23+ANALYSIS!$G$6),1,0)</f>
        <v>0</v>
      </c>
      <c r="AX51">
        <v>0</v>
      </c>
      <c r="AY51">
        <f t="shared" si="13"/>
        <v>0</v>
      </c>
      <c r="AZ51">
        <f t="shared" si="14"/>
        <v>0</v>
      </c>
      <c r="BA51">
        <f t="shared" si="15"/>
        <v>0</v>
      </c>
      <c r="BB51">
        <f t="shared" si="16"/>
        <v>0</v>
      </c>
      <c r="BC51">
        <f t="shared" si="17"/>
        <v>0</v>
      </c>
      <c r="BD51">
        <f t="shared" si="18"/>
        <v>0</v>
      </c>
      <c r="BE51">
        <f t="shared" si="19"/>
        <v>0</v>
      </c>
      <c r="BF51">
        <f t="shared" si="20"/>
        <v>0</v>
      </c>
      <c r="BG51">
        <f t="shared" si="21"/>
        <v>0</v>
      </c>
      <c r="BH51">
        <f t="shared" si="22"/>
        <v>0</v>
      </c>
      <c r="BI51">
        <f t="shared" si="23"/>
        <v>1</v>
      </c>
      <c r="BJ51">
        <f t="shared" si="24"/>
        <v>1</v>
      </c>
      <c r="BK51">
        <f t="shared" si="25"/>
        <v>1</v>
      </c>
      <c r="BL51">
        <f t="shared" si="26"/>
        <v>1</v>
      </c>
      <c r="BM51">
        <f t="shared" si="27"/>
        <v>1</v>
      </c>
    </row>
    <row r="52" spans="1:65" x14ac:dyDescent="0.25">
      <c r="A52" s="41" t="str">
        <f>ANALYSIS!B58</f>
        <v>19-28</v>
      </c>
      <c r="B52" s="41">
        <f>ANALYSIS!E58</f>
        <v>54</v>
      </c>
      <c r="C52" s="41">
        <f>ANALYSIS!G58</f>
        <v>23.49</v>
      </c>
      <c r="D52" s="41">
        <f t="shared" si="12"/>
        <v>2</v>
      </c>
      <c r="R52" cm="1">
        <f t="array" ref="R52">IF(AX52&gt;0,0,SUMPRODUCT((AX$25:AX$124=0)*($B$25:$B$124&gt;=$B52)*($B$25:$B$124&lt;=$B52+ANALYSIS!$G$5)*($C$25:$C$124&gt;=$C52)*($C$25:$C$124&lt;=$C52+ANALYSIS!$G$6)))</f>
        <v>13</v>
      </c>
      <c r="S52" cm="1">
        <f t="array" ref="S52">IF(AY52&gt;0,0,SUMPRODUCT((AY$25:AY$124=0)*($B$25:$B$124&gt;=$B52)*($B$25:$B$124&lt;=$B52+ANALYSIS!$G$5)*($C$25:$C$124&gt;=$C52)*($C$25:$C$124&lt;=$C52+ANALYSIS!$G$6)))</f>
        <v>6</v>
      </c>
      <c r="T52" cm="1">
        <f t="array" ref="T52">IF(AZ52&gt;0,0,SUMPRODUCT((AZ$25:AZ$124=0)*($B$25:$B$124&gt;=$B52)*($B$25:$B$124&lt;=$B52+ANALYSIS!$G$5)*($C$25:$C$124&gt;=$C52)*($C$25:$C$124&lt;=$C52+ANALYSIS!$G$6)))</f>
        <v>0</v>
      </c>
      <c r="U52" cm="1">
        <f t="array" ref="U52">IF(BA52&gt;0,0,SUMPRODUCT((BA$25:BA$124=0)*($B$25:$B$124&gt;=$B52)*($B$25:$B$124&lt;=$B52+ANALYSIS!$G$5)*($C$25:$C$124&gt;=$C52)*($C$25:$C$124&lt;=$C52+ANALYSIS!$G$6)))</f>
        <v>0</v>
      </c>
      <c r="V52" cm="1">
        <f t="array" ref="V52">IF(BB52&gt;0,0,SUMPRODUCT((BB$25:BB$124=0)*($B$25:$B$124&gt;=$B52)*($B$25:$B$124&lt;=$B52+ANALYSIS!$G$5)*($C$25:$C$124&gt;=$C52)*($C$25:$C$124&lt;=$C52+ANALYSIS!$G$6)))</f>
        <v>0</v>
      </c>
      <c r="W52" cm="1">
        <f t="array" ref="W52">IF(BC52&gt;0,0,SUMPRODUCT((BC$25:BC$124=0)*($B$25:$B$124&gt;=$B52)*($B$25:$B$124&lt;=$B52+ANALYSIS!$G$5)*($C$25:$C$124&gt;=$C52)*($C$25:$C$124&lt;=$C52+ANALYSIS!$G$6)))</f>
        <v>0</v>
      </c>
      <c r="X52" cm="1">
        <f t="array" ref="X52">IF(BD52&gt;0,0,SUMPRODUCT((BD$25:BD$124=0)*($B$25:$B$124&gt;=$B52)*($B$25:$B$124&lt;=$B52+ANALYSIS!$G$5)*($C$25:$C$124&gt;=$C52)*($C$25:$C$124&lt;=$C52+ANALYSIS!$G$6)))</f>
        <v>0</v>
      </c>
      <c r="Y52" cm="1">
        <f t="array" ref="Y52">IF(BE52&gt;0,0,SUMPRODUCT((BE$25:BE$124=0)*($B$25:$B$124&gt;=$B52)*($B$25:$B$124&lt;=$B52+ANALYSIS!$G$5)*($C$25:$C$124&gt;=$C52)*($C$25:$C$124&lt;=$C52+ANALYSIS!$G$6)))</f>
        <v>0</v>
      </c>
      <c r="Z52" cm="1">
        <f t="array" ref="Z52">IF(BF52&gt;0,0,SUMPRODUCT((BF$25:BF$124=0)*($B$25:$B$124&gt;=$B52)*($B$25:$B$124&lt;=$B52+ANALYSIS!$G$5)*($C$25:$C$124&gt;=$C52)*($C$25:$C$124&lt;=$C52+ANALYSIS!$G$6)))</f>
        <v>0</v>
      </c>
      <c r="AA52" cm="1">
        <f t="array" ref="AA52">IF(BG52&gt;0,0,SUMPRODUCT((BG$25:BG$124=0)*($B$25:$B$124&gt;=$B52)*($B$25:$B$124&lt;=$B52+ANALYSIS!$G$5)*($C$25:$C$124&gt;=$C52)*($C$25:$C$124&lt;=$C52+ANALYSIS!$G$6)))</f>
        <v>0</v>
      </c>
      <c r="AB52" cm="1">
        <f t="array" ref="AB52">IF(BH52&gt;0,0,SUMPRODUCT((BH$25:BH$124=0)*($B$25:$B$124&gt;=$B52)*($B$25:$B$124&lt;=$B52+ANALYSIS!$G$5)*($C$25:$C$124&gt;=$C52)*($C$25:$C$124&lt;=$C52+ANALYSIS!$G$6)))</f>
        <v>0</v>
      </c>
      <c r="AC52" cm="1">
        <f t="array" ref="AC52">IF(BI52&gt;0,0,SUMPRODUCT((BI$25:BI$124=0)*($B$25:$B$124&gt;=$B52)*($B$25:$B$124&lt;=$B52+ANALYSIS!$G$5)*($C$25:$C$124&gt;=$C52)*($C$25:$C$124&lt;=$C52+ANALYSIS!$G$6)))</f>
        <v>0</v>
      </c>
      <c r="AD52" cm="1">
        <f t="array" ref="AD52">IF(BJ52&gt;0,0,SUMPRODUCT((BJ$25:BJ$124=0)*($B$25:$B$124&gt;=$B52)*($B$25:$B$124&lt;=$B52+ANALYSIS!$G$5)*($C$25:$C$124&gt;=$C52)*($C$25:$C$124&lt;=$C52+ANALYSIS!$G$6)))</f>
        <v>0</v>
      </c>
      <c r="AE52" cm="1">
        <f t="array" ref="AE52">IF(BK52&gt;0,0,SUMPRODUCT((BK$25:BK$124=0)*($B$25:$B$124&gt;=$B52)*($B$25:$B$124&lt;=$B52+ANALYSIS!$G$5)*($C$25:$C$124&gt;=$C52)*($C$25:$C$124&lt;=$C52+ANALYSIS!$G$6)))</f>
        <v>0</v>
      </c>
      <c r="AF52" cm="1">
        <f t="array" ref="AF52">IF(BL52&gt;0,0,SUMPRODUCT((BL$25:BL$124=0)*($B$25:$B$124&gt;=$B52)*($B$25:$B$124&lt;=$B52+ANALYSIS!$G$5)*($C$25:$C$124&gt;=$C52)*($C$25:$C$124&lt;=$C52+ANALYSIS!$G$6)))</f>
        <v>0</v>
      </c>
      <c r="AH52">
        <f>IF(AND(AX52=0,$B52&gt;=R$22,$B52&lt;=R$22+ANALYSIS!$G$5,$C52&gt;=R$23,$C52&lt;=R$23+ANALYSIS!$G$6),1,0)</f>
        <v>0</v>
      </c>
      <c r="AI52">
        <f>IF(AND(AY52=0,$B52&gt;=S$22,$B52&lt;=S$22+ANALYSIS!$G$5,$C52&gt;=S$23,$C52&lt;=S$23+ANALYSIS!$G$6),1,0)</f>
        <v>1</v>
      </c>
      <c r="AJ52">
        <f>IF(AND(AZ52=0,$B52&gt;=T$22,$B52&lt;=T$22+ANALYSIS!$G$5,$C52&gt;=T$23,$C52&lt;=T$23+ANALYSIS!$G$6),1,0)</f>
        <v>0</v>
      </c>
      <c r="AK52">
        <f>IF(AND(BA52=0,$B52&gt;=U$22,$B52&lt;=U$22+ANALYSIS!$G$5,$C52&gt;=U$23,$C52&lt;=U$23+ANALYSIS!$G$6),1,0)</f>
        <v>0</v>
      </c>
      <c r="AL52">
        <f>IF(AND(BB52=0,$B52&gt;=V$22,$B52&lt;=V$22+ANALYSIS!$G$5,$C52&gt;=V$23,$C52&lt;=V$23+ANALYSIS!$G$6),1,0)</f>
        <v>0</v>
      </c>
      <c r="AM52">
        <f>IF(AND(BC52=0,$B52&gt;=W$22,$B52&lt;=W$22+ANALYSIS!$G$5,$C52&gt;=W$23,$C52&lt;=W$23+ANALYSIS!$G$6),1,0)</f>
        <v>0</v>
      </c>
      <c r="AN52">
        <f>IF(AND(BD52=0,$B52&gt;=X$22,$B52&lt;=X$22+ANALYSIS!$G$5,$C52&gt;=X$23,$C52&lt;=X$23+ANALYSIS!$G$6),1,0)</f>
        <v>0</v>
      </c>
      <c r="AO52">
        <f>IF(AND(BE52=0,$B52&gt;=Y$22,$B52&lt;=Y$22+ANALYSIS!$G$5,$C52&gt;=Y$23,$C52&lt;=Y$23+ANALYSIS!$G$6),1,0)</f>
        <v>0</v>
      </c>
      <c r="AP52">
        <f>IF(AND(BF52=0,$B52&gt;=Z$22,$B52&lt;=Z$22+ANALYSIS!$G$5,$C52&gt;=Z$23,$C52&lt;=Z$23+ANALYSIS!$G$6),1,0)</f>
        <v>0</v>
      </c>
      <c r="AQ52">
        <f>IF(AND(BG52=0,$B52&gt;=AA$22,$B52&lt;=AA$22+ANALYSIS!$G$5,$C52&gt;=AA$23,$C52&lt;=AA$23+ANALYSIS!$G$6),1,0)</f>
        <v>0</v>
      </c>
      <c r="AR52">
        <f>IF(AND(BH52=0,$B52&gt;=AB$22,$B52&lt;=AB$22+ANALYSIS!$G$5,$C52&gt;=AB$23,$C52&lt;=AB$23+ANALYSIS!$G$6),1,0)</f>
        <v>0</v>
      </c>
      <c r="AS52">
        <f>IF(AND(BI52=0,$B52&gt;=AC$22,$B52&lt;=AC$22+ANALYSIS!$G$5,$C52&gt;=AC$23,$C52&lt;=AC$23+ANALYSIS!$G$6),1,0)</f>
        <v>0</v>
      </c>
      <c r="AT52">
        <f>IF(AND(BJ52=0,$B52&gt;=AD$22,$B52&lt;=AD$22+ANALYSIS!$G$5,$C52&gt;=AD$23,$C52&lt;=AD$23+ANALYSIS!$G$6),1,0)</f>
        <v>0</v>
      </c>
      <c r="AU52">
        <f>IF(AND(BK52=0,$B52&gt;=AE$22,$B52&lt;=AE$22+ANALYSIS!$G$5,$C52&gt;=AE$23,$C52&lt;=AE$23+ANALYSIS!$G$6),1,0)</f>
        <v>0</v>
      </c>
      <c r="AV52">
        <f>IF(AND(BL52=0,$B52&gt;=AF$22,$B52&lt;=AF$22+ANALYSIS!$G$5,$C52&gt;=AF$23,$C52&lt;=AF$23+ANALYSIS!$G$6),1,0)</f>
        <v>0</v>
      </c>
      <c r="AX52">
        <v>0</v>
      </c>
      <c r="AY52">
        <f t="shared" si="13"/>
        <v>0</v>
      </c>
      <c r="AZ52">
        <f t="shared" si="14"/>
        <v>1</v>
      </c>
      <c r="BA52">
        <f t="shared" si="15"/>
        <v>1</v>
      </c>
      <c r="BB52">
        <f t="shared" si="16"/>
        <v>1</v>
      </c>
      <c r="BC52">
        <f t="shared" si="17"/>
        <v>1</v>
      </c>
      <c r="BD52">
        <f t="shared" si="18"/>
        <v>1</v>
      </c>
      <c r="BE52">
        <f t="shared" si="19"/>
        <v>1</v>
      </c>
      <c r="BF52">
        <f t="shared" si="20"/>
        <v>1</v>
      </c>
      <c r="BG52">
        <f t="shared" si="21"/>
        <v>1</v>
      </c>
      <c r="BH52">
        <f t="shared" si="22"/>
        <v>1</v>
      </c>
      <c r="BI52">
        <f t="shared" si="23"/>
        <v>1</v>
      </c>
      <c r="BJ52">
        <f t="shared" si="24"/>
        <v>1</v>
      </c>
      <c r="BK52">
        <f t="shared" si="25"/>
        <v>1</v>
      </c>
      <c r="BL52">
        <f t="shared" si="26"/>
        <v>1</v>
      </c>
      <c r="BM52">
        <f t="shared" si="27"/>
        <v>1</v>
      </c>
    </row>
    <row r="53" spans="1:65" x14ac:dyDescent="0.25">
      <c r="A53" s="41" t="str">
        <f>ANALYSIS!B59</f>
        <v>19-29</v>
      </c>
      <c r="B53" s="41">
        <f>ANALYSIS!E59</f>
        <v>58</v>
      </c>
      <c r="C53" s="41">
        <f>ANALYSIS!G59</f>
        <v>26.76</v>
      </c>
      <c r="D53" s="41" t="str">
        <f t="shared" si="12"/>
        <v/>
      </c>
      <c r="R53" cm="1">
        <f t="array" ref="R53">IF(AX53&gt;0,0,SUMPRODUCT((AX$25:AX$124=0)*($B$25:$B$124&gt;=$B53)*($B$25:$B$124&lt;=$B53+ANALYSIS!$G$5)*($C$25:$C$124&gt;=$C53)*($C$25:$C$124&lt;=$C53+ANALYSIS!$G$6)))</f>
        <v>1</v>
      </c>
      <c r="S53" cm="1">
        <f t="array" ref="S53">IF(AY53&gt;0,0,SUMPRODUCT((AY$25:AY$124=0)*($B$25:$B$124&gt;=$B53)*($B$25:$B$124&lt;=$B53+ANALYSIS!$G$5)*($C$25:$C$124&gt;=$C53)*($C$25:$C$124&lt;=$C53+ANALYSIS!$G$6)))</f>
        <v>1</v>
      </c>
      <c r="T53" cm="1">
        <f t="array" ref="T53">IF(AZ53&gt;0,0,SUMPRODUCT((AZ$25:AZ$124=0)*($B$25:$B$124&gt;=$B53)*($B$25:$B$124&lt;=$B53+ANALYSIS!$G$5)*($C$25:$C$124&gt;=$C53)*($C$25:$C$124&lt;=$C53+ANALYSIS!$G$6)))</f>
        <v>1</v>
      </c>
      <c r="U53" cm="1">
        <f t="array" ref="U53">IF(BA53&gt;0,0,SUMPRODUCT((BA$25:BA$124=0)*($B$25:$B$124&gt;=$B53)*($B$25:$B$124&lt;=$B53+ANALYSIS!$G$5)*($C$25:$C$124&gt;=$C53)*($C$25:$C$124&lt;=$C53+ANALYSIS!$G$6)))</f>
        <v>1</v>
      </c>
      <c r="V53" cm="1">
        <f t="array" ref="V53">IF(BB53&gt;0,0,SUMPRODUCT((BB$25:BB$124=0)*($B$25:$B$124&gt;=$B53)*($B$25:$B$124&lt;=$B53+ANALYSIS!$G$5)*($C$25:$C$124&gt;=$C53)*($C$25:$C$124&lt;=$C53+ANALYSIS!$G$6)))</f>
        <v>1</v>
      </c>
      <c r="W53" cm="1">
        <f t="array" ref="W53">IF(BC53&gt;0,0,SUMPRODUCT((BC$25:BC$124=0)*($B$25:$B$124&gt;=$B53)*($B$25:$B$124&lt;=$B53+ANALYSIS!$G$5)*($C$25:$C$124&gt;=$C53)*($C$25:$C$124&lt;=$C53+ANALYSIS!$G$6)))</f>
        <v>1</v>
      </c>
      <c r="X53" cm="1">
        <f t="array" ref="X53">IF(BD53&gt;0,0,SUMPRODUCT((BD$25:BD$124=0)*($B$25:$B$124&gt;=$B53)*($B$25:$B$124&lt;=$B53+ANALYSIS!$G$5)*($C$25:$C$124&gt;=$C53)*($C$25:$C$124&lt;=$C53+ANALYSIS!$G$6)))</f>
        <v>1</v>
      </c>
      <c r="Y53" cm="1">
        <f t="array" ref="Y53">IF(BE53&gt;0,0,SUMPRODUCT((BE$25:BE$124=0)*($B$25:$B$124&gt;=$B53)*($B$25:$B$124&lt;=$B53+ANALYSIS!$G$5)*($C$25:$C$124&gt;=$C53)*($C$25:$C$124&lt;=$C53+ANALYSIS!$G$6)))</f>
        <v>1</v>
      </c>
      <c r="Z53" cm="1">
        <f t="array" ref="Z53">IF(BF53&gt;0,0,SUMPRODUCT((BF$25:BF$124=0)*($B$25:$B$124&gt;=$B53)*($B$25:$B$124&lt;=$B53+ANALYSIS!$G$5)*($C$25:$C$124&gt;=$C53)*($C$25:$C$124&lt;=$C53+ANALYSIS!$G$6)))</f>
        <v>1</v>
      </c>
      <c r="AA53" cm="1">
        <f t="array" ref="AA53">IF(BG53&gt;0,0,SUMPRODUCT((BG$25:BG$124=0)*($B$25:$B$124&gt;=$B53)*($B$25:$B$124&lt;=$B53+ANALYSIS!$G$5)*($C$25:$C$124&gt;=$C53)*($C$25:$C$124&lt;=$C53+ANALYSIS!$G$6)))</f>
        <v>1</v>
      </c>
      <c r="AB53" cm="1">
        <f t="array" ref="AB53">IF(BH53&gt;0,0,SUMPRODUCT((BH$25:BH$124=0)*($B$25:$B$124&gt;=$B53)*($B$25:$B$124&lt;=$B53+ANALYSIS!$G$5)*($C$25:$C$124&gt;=$C53)*($C$25:$C$124&lt;=$C53+ANALYSIS!$G$6)))</f>
        <v>1</v>
      </c>
      <c r="AC53" cm="1">
        <f t="array" ref="AC53">IF(BI53&gt;0,0,SUMPRODUCT((BI$25:BI$124=0)*($B$25:$B$124&gt;=$B53)*($B$25:$B$124&lt;=$B53+ANALYSIS!$G$5)*($C$25:$C$124&gt;=$C53)*($C$25:$C$124&lt;=$C53+ANALYSIS!$G$6)))</f>
        <v>1</v>
      </c>
      <c r="AD53" cm="1">
        <f t="array" ref="AD53">IF(BJ53&gt;0,0,SUMPRODUCT((BJ$25:BJ$124=0)*($B$25:$B$124&gt;=$B53)*($B$25:$B$124&lt;=$B53+ANALYSIS!$G$5)*($C$25:$C$124&gt;=$C53)*($C$25:$C$124&lt;=$C53+ANALYSIS!$G$6)))</f>
        <v>1</v>
      </c>
      <c r="AE53" cm="1">
        <f t="array" ref="AE53">IF(BK53&gt;0,0,SUMPRODUCT((BK$25:BK$124=0)*($B$25:$B$124&gt;=$B53)*($B$25:$B$124&lt;=$B53+ANALYSIS!$G$5)*($C$25:$C$124&gt;=$C53)*($C$25:$C$124&lt;=$C53+ANALYSIS!$G$6)))</f>
        <v>1</v>
      </c>
      <c r="AF53" cm="1">
        <f t="array" ref="AF53">IF(BL53&gt;0,0,SUMPRODUCT((BL$25:BL$124=0)*($B$25:$B$124&gt;=$B53)*($B$25:$B$124&lt;=$B53+ANALYSIS!$G$5)*($C$25:$C$124&gt;=$C53)*($C$25:$C$124&lt;=$C53+ANALYSIS!$G$6)))</f>
        <v>1</v>
      </c>
      <c r="AH53">
        <f>IF(AND(AX53=0,$B53&gt;=R$22,$B53&lt;=R$22+ANALYSIS!$G$5,$C53&gt;=R$23,$C53&lt;=R$23+ANALYSIS!$G$6),1,0)</f>
        <v>0</v>
      </c>
      <c r="AI53">
        <f>IF(AND(AY53=0,$B53&gt;=S$22,$B53&lt;=S$22+ANALYSIS!$G$5,$C53&gt;=S$23,$C53&lt;=S$23+ANALYSIS!$G$6),1,0)</f>
        <v>0</v>
      </c>
      <c r="AJ53">
        <f>IF(AND(AZ53=0,$B53&gt;=T$22,$B53&lt;=T$22+ANALYSIS!$G$5,$C53&gt;=T$23,$C53&lt;=T$23+ANALYSIS!$G$6),1,0)</f>
        <v>0</v>
      </c>
      <c r="AK53">
        <f>IF(AND(BA53=0,$B53&gt;=U$22,$B53&lt;=U$22+ANALYSIS!$G$5,$C53&gt;=U$23,$C53&lt;=U$23+ANALYSIS!$G$6),1,0)</f>
        <v>0</v>
      </c>
      <c r="AL53">
        <f>IF(AND(BB53=0,$B53&gt;=V$22,$B53&lt;=V$22+ANALYSIS!$G$5,$C53&gt;=V$23,$C53&lt;=V$23+ANALYSIS!$G$6),1,0)</f>
        <v>0</v>
      </c>
      <c r="AM53">
        <f>IF(AND(BC53=0,$B53&gt;=W$22,$B53&lt;=W$22+ANALYSIS!$G$5,$C53&gt;=W$23,$C53&lt;=W$23+ANALYSIS!$G$6),1,0)</f>
        <v>0</v>
      </c>
      <c r="AN53">
        <f>IF(AND(BD53=0,$B53&gt;=X$22,$B53&lt;=X$22+ANALYSIS!$G$5,$C53&gt;=X$23,$C53&lt;=X$23+ANALYSIS!$G$6),1,0)</f>
        <v>0</v>
      </c>
      <c r="AO53">
        <f>IF(AND(BE53=0,$B53&gt;=Y$22,$B53&lt;=Y$22+ANALYSIS!$G$5,$C53&gt;=Y$23,$C53&lt;=Y$23+ANALYSIS!$G$6),1,0)</f>
        <v>0</v>
      </c>
      <c r="AP53">
        <f>IF(AND(BF53=0,$B53&gt;=Z$22,$B53&lt;=Z$22+ANALYSIS!$G$5,$C53&gt;=Z$23,$C53&lt;=Z$23+ANALYSIS!$G$6),1,0)</f>
        <v>0</v>
      </c>
      <c r="AQ53">
        <f>IF(AND(BG53=0,$B53&gt;=AA$22,$B53&lt;=AA$22+ANALYSIS!$G$5,$C53&gt;=AA$23,$C53&lt;=AA$23+ANALYSIS!$G$6),1,0)</f>
        <v>0</v>
      </c>
      <c r="AR53">
        <f>IF(AND(BH53=0,$B53&gt;=AB$22,$B53&lt;=AB$22+ANALYSIS!$G$5,$C53&gt;=AB$23,$C53&lt;=AB$23+ANALYSIS!$G$6),1,0)</f>
        <v>0</v>
      </c>
      <c r="AS53">
        <f>IF(AND(BI53=0,$B53&gt;=AC$22,$B53&lt;=AC$22+ANALYSIS!$G$5,$C53&gt;=AC$23,$C53&lt;=AC$23+ANALYSIS!$G$6),1,0)</f>
        <v>0</v>
      </c>
      <c r="AT53">
        <f>IF(AND(BJ53=0,$B53&gt;=AD$22,$B53&lt;=AD$22+ANALYSIS!$G$5,$C53&gt;=AD$23,$C53&lt;=AD$23+ANALYSIS!$G$6),1,0)</f>
        <v>0</v>
      </c>
      <c r="AU53">
        <f>IF(AND(BK53=0,$B53&gt;=AE$22,$B53&lt;=AE$22+ANALYSIS!$G$5,$C53&gt;=AE$23,$C53&lt;=AE$23+ANALYSIS!$G$6),1,0)</f>
        <v>0</v>
      </c>
      <c r="AV53">
        <f>IF(AND(BL53=0,$B53&gt;=AF$22,$B53&lt;=AF$22+ANALYSIS!$G$5,$C53&gt;=AF$23,$C53&lt;=AF$23+ANALYSIS!$G$6),1,0)</f>
        <v>0</v>
      </c>
      <c r="AX53">
        <v>0</v>
      </c>
      <c r="AY53">
        <f t="shared" si="13"/>
        <v>0</v>
      </c>
      <c r="AZ53">
        <f t="shared" si="14"/>
        <v>0</v>
      </c>
      <c r="BA53">
        <f t="shared" si="15"/>
        <v>0</v>
      </c>
      <c r="BB53">
        <f t="shared" si="16"/>
        <v>0</v>
      </c>
      <c r="BC53">
        <f t="shared" si="17"/>
        <v>0</v>
      </c>
      <c r="BD53">
        <f t="shared" si="18"/>
        <v>0</v>
      </c>
      <c r="BE53">
        <f t="shared" si="19"/>
        <v>0</v>
      </c>
      <c r="BF53">
        <f t="shared" si="20"/>
        <v>0</v>
      </c>
      <c r="BG53">
        <f t="shared" si="21"/>
        <v>0</v>
      </c>
      <c r="BH53">
        <f t="shared" si="22"/>
        <v>0</v>
      </c>
      <c r="BI53">
        <f t="shared" si="23"/>
        <v>0</v>
      </c>
      <c r="BJ53">
        <f t="shared" si="24"/>
        <v>0</v>
      </c>
      <c r="BK53">
        <f t="shared" si="25"/>
        <v>0</v>
      </c>
      <c r="BL53">
        <f t="shared" si="26"/>
        <v>0</v>
      </c>
      <c r="BM53">
        <f t="shared" si="27"/>
        <v>0</v>
      </c>
    </row>
    <row r="54" spans="1:65" x14ac:dyDescent="0.25">
      <c r="A54" s="41" t="str">
        <f>ANALYSIS!B60</f>
        <v>19-30</v>
      </c>
      <c r="B54" s="41">
        <f>ANALYSIS!E60</f>
        <v>58.5</v>
      </c>
      <c r="C54" s="41">
        <f>ANALYSIS!G60</f>
        <v>25.48</v>
      </c>
      <c r="D54" s="41" t="str">
        <f t="shared" si="12"/>
        <v/>
      </c>
      <c r="R54" cm="1">
        <f t="array" ref="R54">IF(AX54&gt;0,0,SUMPRODUCT((AX$25:AX$124=0)*($B$25:$B$124&gt;=$B54)*($B$25:$B$124&lt;=$B54+ANALYSIS!$G$5)*($C$25:$C$124&gt;=$C54)*($C$25:$C$124&lt;=$C54+ANALYSIS!$G$6)))</f>
        <v>1</v>
      </c>
      <c r="S54" cm="1">
        <f t="array" ref="S54">IF(AY54&gt;0,0,SUMPRODUCT((AY$25:AY$124=0)*($B$25:$B$124&gt;=$B54)*($B$25:$B$124&lt;=$B54+ANALYSIS!$G$5)*($C$25:$C$124&gt;=$C54)*($C$25:$C$124&lt;=$C54+ANALYSIS!$G$6)))</f>
        <v>1</v>
      </c>
      <c r="T54" cm="1">
        <f t="array" ref="T54">IF(AZ54&gt;0,0,SUMPRODUCT((AZ$25:AZ$124=0)*($B$25:$B$124&gt;=$B54)*($B$25:$B$124&lt;=$B54+ANALYSIS!$G$5)*($C$25:$C$124&gt;=$C54)*($C$25:$C$124&lt;=$C54+ANALYSIS!$G$6)))</f>
        <v>1</v>
      </c>
      <c r="U54" cm="1">
        <f t="array" ref="U54">IF(BA54&gt;0,0,SUMPRODUCT((BA$25:BA$124=0)*($B$25:$B$124&gt;=$B54)*($B$25:$B$124&lt;=$B54+ANALYSIS!$G$5)*($C$25:$C$124&gt;=$C54)*($C$25:$C$124&lt;=$C54+ANALYSIS!$G$6)))</f>
        <v>1</v>
      </c>
      <c r="V54" cm="1">
        <f t="array" ref="V54">IF(BB54&gt;0,0,SUMPRODUCT((BB$25:BB$124=0)*($B$25:$B$124&gt;=$B54)*($B$25:$B$124&lt;=$B54+ANALYSIS!$G$5)*($C$25:$C$124&gt;=$C54)*($C$25:$C$124&lt;=$C54+ANALYSIS!$G$6)))</f>
        <v>1</v>
      </c>
      <c r="W54" cm="1">
        <f t="array" ref="W54">IF(BC54&gt;0,0,SUMPRODUCT((BC$25:BC$124=0)*($B$25:$B$124&gt;=$B54)*($B$25:$B$124&lt;=$B54+ANALYSIS!$G$5)*($C$25:$C$124&gt;=$C54)*($C$25:$C$124&lt;=$C54+ANALYSIS!$G$6)))</f>
        <v>1</v>
      </c>
      <c r="X54" cm="1">
        <f t="array" ref="X54">IF(BD54&gt;0,0,SUMPRODUCT((BD$25:BD$124=0)*($B$25:$B$124&gt;=$B54)*($B$25:$B$124&lt;=$B54+ANALYSIS!$G$5)*($C$25:$C$124&gt;=$C54)*($C$25:$C$124&lt;=$C54+ANALYSIS!$G$6)))</f>
        <v>1</v>
      </c>
      <c r="Y54" cm="1">
        <f t="array" ref="Y54">IF(BE54&gt;0,0,SUMPRODUCT((BE$25:BE$124=0)*($B$25:$B$124&gt;=$B54)*($B$25:$B$124&lt;=$B54+ANALYSIS!$G$5)*($C$25:$C$124&gt;=$C54)*($C$25:$C$124&lt;=$C54+ANALYSIS!$G$6)))</f>
        <v>1</v>
      </c>
      <c r="Z54" cm="1">
        <f t="array" ref="Z54">IF(BF54&gt;0,0,SUMPRODUCT((BF$25:BF$124=0)*($B$25:$B$124&gt;=$B54)*($B$25:$B$124&lt;=$B54+ANALYSIS!$G$5)*($C$25:$C$124&gt;=$C54)*($C$25:$C$124&lt;=$C54+ANALYSIS!$G$6)))</f>
        <v>1</v>
      </c>
      <c r="AA54" cm="1">
        <f t="array" ref="AA54">IF(BG54&gt;0,0,SUMPRODUCT((BG$25:BG$124=0)*($B$25:$B$124&gt;=$B54)*($B$25:$B$124&lt;=$B54+ANALYSIS!$G$5)*($C$25:$C$124&gt;=$C54)*($C$25:$C$124&lt;=$C54+ANALYSIS!$G$6)))</f>
        <v>1</v>
      </c>
      <c r="AB54" cm="1">
        <f t="array" ref="AB54">IF(BH54&gt;0,0,SUMPRODUCT((BH$25:BH$124=0)*($B$25:$B$124&gt;=$B54)*($B$25:$B$124&lt;=$B54+ANALYSIS!$G$5)*($C$25:$C$124&gt;=$C54)*($C$25:$C$124&lt;=$C54+ANALYSIS!$G$6)))</f>
        <v>1</v>
      </c>
      <c r="AC54" cm="1">
        <f t="array" ref="AC54">IF(BI54&gt;0,0,SUMPRODUCT((BI$25:BI$124=0)*($B$25:$B$124&gt;=$B54)*($B$25:$B$124&lt;=$B54+ANALYSIS!$G$5)*($C$25:$C$124&gt;=$C54)*($C$25:$C$124&lt;=$C54+ANALYSIS!$G$6)))</f>
        <v>1</v>
      </c>
      <c r="AD54" cm="1">
        <f t="array" ref="AD54">IF(BJ54&gt;0,0,SUMPRODUCT((BJ$25:BJ$124=0)*($B$25:$B$124&gt;=$B54)*($B$25:$B$124&lt;=$B54+ANALYSIS!$G$5)*($C$25:$C$124&gt;=$C54)*($C$25:$C$124&lt;=$C54+ANALYSIS!$G$6)))</f>
        <v>1</v>
      </c>
      <c r="AE54" cm="1">
        <f t="array" ref="AE54">IF(BK54&gt;0,0,SUMPRODUCT((BK$25:BK$124=0)*($B$25:$B$124&gt;=$B54)*($B$25:$B$124&lt;=$B54+ANALYSIS!$G$5)*($C$25:$C$124&gt;=$C54)*($C$25:$C$124&lt;=$C54+ANALYSIS!$G$6)))</f>
        <v>1</v>
      </c>
      <c r="AF54" cm="1">
        <f t="array" ref="AF54">IF(BL54&gt;0,0,SUMPRODUCT((BL$25:BL$124=0)*($B$25:$B$124&gt;=$B54)*($B$25:$B$124&lt;=$B54+ANALYSIS!$G$5)*($C$25:$C$124&gt;=$C54)*($C$25:$C$124&lt;=$C54+ANALYSIS!$G$6)))</f>
        <v>1</v>
      </c>
      <c r="AH54">
        <f>IF(AND(AX54=0,$B54&gt;=R$22,$B54&lt;=R$22+ANALYSIS!$G$5,$C54&gt;=R$23,$C54&lt;=R$23+ANALYSIS!$G$6),1,0)</f>
        <v>0</v>
      </c>
      <c r="AI54">
        <f>IF(AND(AY54=0,$B54&gt;=S$22,$B54&lt;=S$22+ANALYSIS!$G$5,$C54&gt;=S$23,$C54&lt;=S$23+ANALYSIS!$G$6),1,0)</f>
        <v>0</v>
      </c>
      <c r="AJ54">
        <f>IF(AND(AZ54=0,$B54&gt;=T$22,$B54&lt;=T$22+ANALYSIS!$G$5,$C54&gt;=T$23,$C54&lt;=T$23+ANALYSIS!$G$6),1,0)</f>
        <v>0</v>
      </c>
      <c r="AK54">
        <f>IF(AND(BA54=0,$B54&gt;=U$22,$B54&lt;=U$22+ANALYSIS!$G$5,$C54&gt;=U$23,$C54&lt;=U$23+ANALYSIS!$G$6),1,0)</f>
        <v>0</v>
      </c>
      <c r="AL54">
        <f>IF(AND(BB54=0,$B54&gt;=V$22,$B54&lt;=V$22+ANALYSIS!$G$5,$C54&gt;=V$23,$C54&lt;=V$23+ANALYSIS!$G$6),1,0)</f>
        <v>0</v>
      </c>
      <c r="AM54">
        <f>IF(AND(BC54=0,$B54&gt;=W$22,$B54&lt;=W$22+ANALYSIS!$G$5,$C54&gt;=W$23,$C54&lt;=W$23+ANALYSIS!$G$6),1,0)</f>
        <v>0</v>
      </c>
      <c r="AN54">
        <f>IF(AND(BD54=0,$B54&gt;=X$22,$B54&lt;=X$22+ANALYSIS!$G$5,$C54&gt;=X$23,$C54&lt;=X$23+ANALYSIS!$G$6),1,0)</f>
        <v>0</v>
      </c>
      <c r="AO54">
        <f>IF(AND(BE54=0,$B54&gt;=Y$22,$B54&lt;=Y$22+ANALYSIS!$G$5,$C54&gt;=Y$23,$C54&lt;=Y$23+ANALYSIS!$G$6),1,0)</f>
        <v>0</v>
      </c>
      <c r="AP54">
        <f>IF(AND(BF54=0,$B54&gt;=Z$22,$B54&lt;=Z$22+ANALYSIS!$G$5,$C54&gt;=Z$23,$C54&lt;=Z$23+ANALYSIS!$G$6),1,0)</f>
        <v>0</v>
      </c>
      <c r="AQ54">
        <f>IF(AND(BG54=0,$B54&gt;=AA$22,$B54&lt;=AA$22+ANALYSIS!$G$5,$C54&gt;=AA$23,$C54&lt;=AA$23+ANALYSIS!$G$6),1,0)</f>
        <v>0</v>
      </c>
      <c r="AR54">
        <f>IF(AND(BH54=0,$B54&gt;=AB$22,$B54&lt;=AB$22+ANALYSIS!$G$5,$C54&gt;=AB$23,$C54&lt;=AB$23+ANALYSIS!$G$6),1,0)</f>
        <v>0</v>
      </c>
      <c r="AS54">
        <f>IF(AND(BI54=0,$B54&gt;=AC$22,$B54&lt;=AC$22+ANALYSIS!$G$5,$C54&gt;=AC$23,$C54&lt;=AC$23+ANALYSIS!$G$6),1,0)</f>
        <v>0</v>
      </c>
      <c r="AT54">
        <f>IF(AND(BJ54=0,$B54&gt;=AD$22,$B54&lt;=AD$22+ANALYSIS!$G$5,$C54&gt;=AD$23,$C54&lt;=AD$23+ANALYSIS!$G$6),1,0)</f>
        <v>0</v>
      </c>
      <c r="AU54">
        <f>IF(AND(BK54=0,$B54&gt;=AE$22,$B54&lt;=AE$22+ANALYSIS!$G$5,$C54&gt;=AE$23,$C54&lt;=AE$23+ANALYSIS!$G$6),1,0)</f>
        <v>0</v>
      </c>
      <c r="AV54">
        <f>IF(AND(BL54=0,$B54&gt;=AF$22,$B54&lt;=AF$22+ANALYSIS!$G$5,$C54&gt;=AF$23,$C54&lt;=AF$23+ANALYSIS!$G$6),1,0)</f>
        <v>0</v>
      </c>
      <c r="AX54">
        <v>0</v>
      </c>
      <c r="AY54">
        <f t="shared" si="13"/>
        <v>0</v>
      </c>
      <c r="AZ54">
        <f t="shared" si="14"/>
        <v>0</v>
      </c>
      <c r="BA54">
        <f t="shared" si="15"/>
        <v>0</v>
      </c>
      <c r="BB54">
        <f t="shared" si="16"/>
        <v>0</v>
      </c>
      <c r="BC54">
        <f t="shared" si="17"/>
        <v>0</v>
      </c>
      <c r="BD54">
        <f t="shared" si="18"/>
        <v>0</v>
      </c>
      <c r="BE54">
        <f t="shared" si="19"/>
        <v>0</v>
      </c>
      <c r="BF54">
        <f t="shared" si="20"/>
        <v>0</v>
      </c>
      <c r="BG54">
        <f t="shared" si="21"/>
        <v>0</v>
      </c>
      <c r="BH54">
        <f t="shared" si="22"/>
        <v>0</v>
      </c>
      <c r="BI54">
        <f t="shared" si="23"/>
        <v>0</v>
      </c>
      <c r="BJ54">
        <f t="shared" si="24"/>
        <v>0</v>
      </c>
      <c r="BK54">
        <f t="shared" si="25"/>
        <v>0</v>
      </c>
      <c r="BL54">
        <f t="shared" si="26"/>
        <v>0</v>
      </c>
      <c r="BM54">
        <f t="shared" si="27"/>
        <v>0</v>
      </c>
    </row>
    <row r="55" spans="1:65" x14ac:dyDescent="0.25">
      <c r="A55" s="41" t="str">
        <f>ANALYSIS!B61</f>
        <v>19-31</v>
      </c>
      <c r="B55" s="41">
        <f>ANALYSIS!E61</f>
        <v>55.5</v>
      </c>
      <c r="C55" s="41">
        <f>ANALYSIS!G61</f>
        <v>25.52</v>
      </c>
      <c r="D55" s="41">
        <f t="shared" si="12"/>
        <v>3</v>
      </c>
      <c r="R55" cm="1">
        <f t="array" ref="R55">IF(AX55&gt;0,0,SUMPRODUCT((AX$25:AX$124=0)*($B$25:$B$124&gt;=$B55)*($B$25:$B$124&lt;=$B55+ANALYSIS!$G$5)*($C$25:$C$124&gt;=$C55)*($C$25:$C$124&lt;=$C55+ANALYSIS!$G$6)))</f>
        <v>3</v>
      </c>
      <c r="S55" cm="1">
        <f t="array" ref="S55">IF(AY55&gt;0,0,SUMPRODUCT((AY$25:AY$124=0)*($B$25:$B$124&gt;=$B55)*($B$25:$B$124&lt;=$B55+ANALYSIS!$G$5)*($C$25:$C$124&gt;=$C55)*($C$25:$C$124&lt;=$C55+ANALYSIS!$G$6)))</f>
        <v>3</v>
      </c>
      <c r="T55" cm="1">
        <f t="array" ref="T55">IF(AZ55&gt;0,0,SUMPRODUCT((AZ$25:AZ$124=0)*($B$25:$B$124&gt;=$B55)*($B$25:$B$124&lt;=$B55+ANALYSIS!$G$5)*($C$25:$C$124&gt;=$C55)*($C$25:$C$124&lt;=$C55+ANALYSIS!$G$6)))</f>
        <v>3</v>
      </c>
      <c r="U55" cm="1">
        <f t="array" ref="U55">IF(BA55&gt;0,0,SUMPRODUCT((BA$25:BA$124=0)*($B$25:$B$124&gt;=$B55)*($B$25:$B$124&lt;=$B55+ANALYSIS!$G$5)*($C$25:$C$124&gt;=$C55)*($C$25:$C$124&lt;=$C55+ANALYSIS!$G$6)))</f>
        <v>0</v>
      </c>
      <c r="V55" cm="1">
        <f t="array" ref="V55">IF(BB55&gt;0,0,SUMPRODUCT((BB$25:BB$124=0)*($B$25:$B$124&gt;=$B55)*($B$25:$B$124&lt;=$B55+ANALYSIS!$G$5)*($C$25:$C$124&gt;=$C55)*($C$25:$C$124&lt;=$C55+ANALYSIS!$G$6)))</f>
        <v>0</v>
      </c>
      <c r="W55" cm="1">
        <f t="array" ref="W55">IF(BC55&gt;0,0,SUMPRODUCT((BC$25:BC$124=0)*($B$25:$B$124&gt;=$B55)*($B$25:$B$124&lt;=$B55+ANALYSIS!$G$5)*($C$25:$C$124&gt;=$C55)*($C$25:$C$124&lt;=$C55+ANALYSIS!$G$6)))</f>
        <v>0</v>
      </c>
      <c r="X55" cm="1">
        <f t="array" ref="X55">IF(BD55&gt;0,0,SUMPRODUCT((BD$25:BD$124=0)*($B$25:$B$124&gt;=$B55)*($B$25:$B$124&lt;=$B55+ANALYSIS!$G$5)*($C$25:$C$124&gt;=$C55)*($C$25:$C$124&lt;=$C55+ANALYSIS!$G$6)))</f>
        <v>0</v>
      </c>
      <c r="Y55" cm="1">
        <f t="array" ref="Y55">IF(BE55&gt;0,0,SUMPRODUCT((BE$25:BE$124=0)*($B$25:$B$124&gt;=$B55)*($B$25:$B$124&lt;=$B55+ANALYSIS!$G$5)*($C$25:$C$124&gt;=$C55)*($C$25:$C$124&lt;=$C55+ANALYSIS!$G$6)))</f>
        <v>0</v>
      </c>
      <c r="Z55" cm="1">
        <f t="array" ref="Z55">IF(BF55&gt;0,0,SUMPRODUCT((BF$25:BF$124=0)*($B$25:$B$124&gt;=$B55)*($B$25:$B$124&lt;=$B55+ANALYSIS!$G$5)*($C$25:$C$124&gt;=$C55)*($C$25:$C$124&lt;=$C55+ANALYSIS!$G$6)))</f>
        <v>0</v>
      </c>
      <c r="AA55" cm="1">
        <f t="array" ref="AA55">IF(BG55&gt;0,0,SUMPRODUCT((BG$25:BG$124=0)*($B$25:$B$124&gt;=$B55)*($B$25:$B$124&lt;=$B55+ANALYSIS!$G$5)*($C$25:$C$124&gt;=$C55)*($C$25:$C$124&lt;=$C55+ANALYSIS!$G$6)))</f>
        <v>0</v>
      </c>
      <c r="AB55" cm="1">
        <f t="array" ref="AB55">IF(BH55&gt;0,0,SUMPRODUCT((BH$25:BH$124=0)*($B$25:$B$124&gt;=$B55)*($B$25:$B$124&lt;=$B55+ANALYSIS!$G$5)*($C$25:$C$124&gt;=$C55)*($C$25:$C$124&lt;=$C55+ANALYSIS!$G$6)))</f>
        <v>0</v>
      </c>
      <c r="AC55" cm="1">
        <f t="array" ref="AC55">IF(BI55&gt;0,0,SUMPRODUCT((BI$25:BI$124=0)*($B$25:$B$124&gt;=$B55)*($B$25:$B$124&lt;=$B55+ANALYSIS!$G$5)*($C$25:$C$124&gt;=$C55)*($C$25:$C$124&lt;=$C55+ANALYSIS!$G$6)))</f>
        <v>0</v>
      </c>
      <c r="AD55" cm="1">
        <f t="array" ref="AD55">IF(BJ55&gt;0,0,SUMPRODUCT((BJ$25:BJ$124=0)*($B$25:$B$124&gt;=$B55)*($B$25:$B$124&lt;=$B55+ANALYSIS!$G$5)*($C$25:$C$124&gt;=$C55)*($C$25:$C$124&lt;=$C55+ANALYSIS!$G$6)))</f>
        <v>0</v>
      </c>
      <c r="AE55" cm="1">
        <f t="array" ref="AE55">IF(BK55&gt;0,0,SUMPRODUCT((BK$25:BK$124=0)*($B$25:$B$124&gt;=$B55)*($B$25:$B$124&lt;=$B55+ANALYSIS!$G$5)*($C$25:$C$124&gt;=$C55)*($C$25:$C$124&lt;=$C55+ANALYSIS!$G$6)))</f>
        <v>0</v>
      </c>
      <c r="AF55" cm="1">
        <f t="array" ref="AF55">IF(BL55&gt;0,0,SUMPRODUCT((BL$25:BL$124=0)*($B$25:$B$124&gt;=$B55)*($B$25:$B$124&lt;=$B55+ANALYSIS!$G$5)*($C$25:$C$124&gt;=$C55)*($C$25:$C$124&lt;=$C55+ANALYSIS!$G$6)))</f>
        <v>0</v>
      </c>
      <c r="AH55">
        <f>IF(AND(AX55=0,$B55&gt;=R$22,$B55&lt;=R$22+ANALYSIS!$G$5,$C55&gt;=R$23,$C55&lt;=R$23+ANALYSIS!$G$6),1,0)</f>
        <v>0</v>
      </c>
      <c r="AI55">
        <f>IF(AND(AY55=0,$B55&gt;=S$22,$B55&lt;=S$22+ANALYSIS!$G$5,$C55&gt;=S$23,$C55&lt;=S$23+ANALYSIS!$G$6),1,0)</f>
        <v>0</v>
      </c>
      <c r="AJ55">
        <f>IF(AND(AZ55=0,$B55&gt;=T$22,$B55&lt;=T$22+ANALYSIS!$G$5,$C55&gt;=T$23,$C55&lt;=T$23+ANALYSIS!$G$6),1,0)</f>
        <v>1</v>
      </c>
      <c r="AK55">
        <f>IF(AND(BA55=0,$B55&gt;=U$22,$B55&lt;=U$22+ANALYSIS!$G$5,$C55&gt;=U$23,$C55&lt;=U$23+ANALYSIS!$G$6),1,0)</f>
        <v>0</v>
      </c>
      <c r="AL55">
        <f>IF(AND(BB55=0,$B55&gt;=V$22,$B55&lt;=V$22+ANALYSIS!$G$5,$C55&gt;=V$23,$C55&lt;=V$23+ANALYSIS!$G$6),1,0)</f>
        <v>0</v>
      </c>
      <c r="AM55">
        <f>IF(AND(BC55=0,$B55&gt;=W$22,$B55&lt;=W$22+ANALYSIS!$G$5,$C55&gt;=W$23,$C55&lt;=W$23+ANALYSIS!$G$6),1,0)</f>
        <v>0</v>
      </c>
      <c r="AN55">
        <f>IF(AND(BD55=0,$B55&gt;=X$22,$B55&lt;=X$22+ANALYSIS!$G$5,$C55&gt;=X$23,$C55&lt;=X$23+ANALYSIS!$G$6),1,0)</f>
        <v>0</v>
      </c>
      <c r="AO55">
        <f>IF(AND(BE55=0,$B55&gt;=Y$22,$B55&lt;=Y$22+ANALYSIS!$G$5,$C55&gt;=Y$23,$C55&lt;=Y$23+ANALYSIS!$G$6),1,0)</f>
        <v>0</v>
      </c>
      <c r="AP55">
        <f>IF(AND(BF55=0,$B55&gt;=Z$22,$B55&lt;=Z$22+ANALYSIS!$G$5,$C55&gt;=Z$23,$C55&lt;=Z$23+ANALYSIS!$G$6),1,0)</f>
        <v>0</v>
      </c>
      <c r="AQ55">
        <f>IF(AND(BG55=0,$B55&gt;=AA$22,$B55&lt;=AA$22+ANALYSIS!$G$5,$C55&gt;=AA$23,$C55&lt;=AA$23+ANALYSIS!$G$6),1,0)</f>
        <v>0</v>
      </c>
      <c r="AR55">
        <f>IF(AND(BH55=0,$B55&gt;=AB$22,$B55&lt;=AB$22+ANALYSIS!$G$5,$C55&gt;=AB$23,$C55&lt;=AB$23+ANALYSIS!$G$6),1,0)</f>
        <v>0</v>
      </c>
      <c r="AS55">
        <f>IF(AND(BI55=0,$B55&gt;=AC$22,$B55&lt;=AC$22+ANALYSIS!$G$5,$C55&gt;=AC$23,$C55&lt;=AC$23+ANALYSIS!$G$6),1,0)</f>
        <v>0</v>
      </c>
      <c r="AT55">
        <f>IF(AND(BJ55=0,$B55&gt;=AD$22,$B55&lt;=AD$22+ANALYSIS!$G$5,$C55&gt;=AD$23,$C55&lt;=AD$23+ANALYSIS!$G$6),1,0)</f>
        <v>0</v>
      </c>
      <c r="AU55">
        <f>IF(AND(BK55=0,$B55&gt;=AE$22,$B55&lt;=AE$22+ANALYSIS!$G$5,$C55&gt;=AE$23,$C55&lt;=AE$23+ANALYSIS!$G$6),1,0)</f>
        <v>0</v>
      </c>
      <c r="AV55">
        <f>IF(AND(BL55=0,$B55&gt;=AF$22,$B55&lt;=AF$22+ANALYSIS!$G$5,$C55&gt;=AF$23,$C55&lt;=AF$23+ANALYSIS!$G$6),1,0)</f>
        <v>0</v>
      </c>
      <c r="AX55">
        <v>0</v>
      </c>
      <c r="AY55">
        <f t="shared" si="13"/>
        <v>0</v>
      </c>
      <c r="AZ55">
        <f t="shared" si="14"/>
        <v>0</v>
      </c>
      <c r="BA55">
        <f t="shared" si="15"/>
        <v>1</v>
      </c>
      <c r="BB55">
        <f t="shared" si="16"/>
        <v>1</v>
      </c>
      <c r="BC55">
        <f t="shared" si="17"/>
        <v>1</v>
      </c>
      <c r="BD55">
        <f t="shared" si="18"/>
        <v>1</v>
      </c>
      <c r="BE55">
        <f t="shared" si="19"/>
        <v>1</v>
      </c>
      <c r="BF55">
        <f t="shared" si="20"/>
        <v>1</v>
      </c>
      <c r="BG55">
        <f t="shared" si="21"/>
        <v>1</v>
      </c>
      <c r="BH55">
        <f t="shared" si="22"/>
        <v>1</v>
      </c>
      <c r="BI55">
        <f t="shared" si="23"/>
        <v>1</v>
      </c>
      <c r="BJ55">
        <f t="shared" si="24"/>
        <v>1</v>
      </c>
      <c r="BK55">
        <f t="shared" si="25"/>
        <v>1</v>
      </c>
      <c r="BL55">
        <f t="shared" si="26"/>
        <v>1</v>
      </c>
      <c r="BM55">
        <f t="shared" si="27"/>
        <v>1</v>
      </c>
    </row>
    <row r="56" spans="1:65" x14ac:dyDescent="0.25">
      <c r="A56" s="41" t="str">
        <f>ANALYSIS!B62</f>
        <v>19-32</v>
      </c>
      <c r="B56" s="41">
        <f>ANALYSIS!E62</f>
        <v>57</v>
      </c>
      <c r="C56" s="41">
        <f>ANALYSIS!G62</f>
        <v>22.86</v>
      </c>
      <c r="D56" s="41">
        <f t="shared" si="12"/>
        <v>7</v>
      </c>
      <c r="R56" cm="1">
        <f t="array" ref="R56">IF(AX56&gt;0,0,SUMPRODUCT((AX$25:AX$124=0)*($B$25:$B$124&gt;=$B56)*($B$25:$B$124&lt;=$B56+ANALYSIS!$G$5)*($C$25:$C$124&gt;=$C56)*($C$25:$C$124&lt;=$C56+ANALYSIS!$G$6)))</f>
        <v>4</v>
      </c>
      <c r="S56" cm="1">
        <f t="array" ref="S56">IF(AY56&gt;0,0,SUMPRODUCT((AY$25:AY$124=0)*($B$25:$B$124&gt;=$B56)*($B$25:$B$124&lt;=$B56+ANALYSIS!$G$5)*($C$25:$C$124&gt;=$C56)*($C$25:$C$124&lt;=$C56+ANALYSIS!$G$6)))</f>
        <v>4</v>
      </c>
      <c r="T56" cm="1">
        <f t="array" ref="T56">IF(AZ56&gt;0,0,SUMPRODUCT((AZ$25:AZ$124=0)*($B$25:$B$124&gt;=$B56)*($B$25:$B$124&lt;=$B56+ANALYSIS!$G$5)*($C$25:$C$124&gt;=$C56)*($C$25:$C$124&lt;=$C56+ANALYSIS!$G$6)))</f>
        <v>4</v>
      </c>
      <c r="U56" cm="1">
        <f t="array" ref="U56">IF(BA56&gt;0,0,SUMPRODUCT((BA$25:BA$124=0)*($B$25:$B$124&gt;=$B56)*($B$25:$B$124&lt;=$B56+ANALYSIS!$G$5)*($C$25:$C$124&gt;=$C56)*($C$25:$C$124&lt;=$C56+ANALYSIS!$G$6)))</f>
        <v>4</v>
      </c>
      <c r="V56" cm="1">
        <f t="array" ref="V56">IF(BB56&gt;0,0,SUMPRODUCT((BB$25:BB$124=0)*($B$25:$B$124&gt;=$B56)*($B$25:$B$124&lt;=$B56+ANALYSIS!$G$5)*($C$25:$C$124&gt;=$C56)*($C$25:$C$124&lt;=$C56+ANALYSIS!$G$6)))</f>
        <v>4</v>
      </c>
      <c r="W56" cm="1">
        <f t="array" ref="W56">IF(BC56&gt;0,0,SUMPRODUCT((BC$25:BC$124=0)*($B$25:$B$124&gt;=$B56)*($B$25:$B$124&lt;=$B56+ANALYSIS!$G$5)*($C$25:$C$124&gt;=$C56)*($C$25:$C$124&lt;=$C56+ANALYSIS!$G$6)))</f>
        <v>4</v>
      </c>
      <c r="X56" cm="1">
        <f t="array" ref="X56">IF(BD56&gt;0,0,SUMPRODUCT((BD$25:BD$124=0)*($B$25:$B$124&gt;=$B56)*($B$25:$B$124&lt;=$B56+ANALYSIS!$G$5)*($C$25:$C$124&gt;=$C56)*($C$25:$C$124&lt;=$C56+ANALYSIS!$G$6)))</f>
        <v>4</v>
      </c>
      <c r="Y56" cm="1">
        <f t="array" ref="Y56">IF(BE56&gt;0,0,SUMPRODUCT((BE$25:BE$124=0)*($B$25:$B$124&gt;=$B56)*($B$25:$B$124&lt;=$B56+ANALYSIS!$G$5)*($C$25:$C$124&gt;=$C56)*($C$25:$C$124&lt;=$C56+ANALYSIS!$G$6)))</f>
        <v>0</v>
      </c>
      <c r="Z56" cm="1">
        <f t="array" ref="Z56">IF(BF56&gt;0,0,SUMPRODUCT((BF$25:BF$124=0)*($B$25:$B$124&gt;=$B56)*($B$25:$B$124&lt;=$B56+ANALYSIS!$G$5)*($C$25:$C$124&gt;=$C56)*($C$25:$C$124&lt;=$C56+ANALYSIS!$G$6)))</f>
        <v>0</v>
      </c>
      <c r="AA56" cm="1">
        <f t="array" ref="AA56">IF(BG56&gt;0,0,SUMPRODUCT((BG$25:BG$124=0)*($B$25:$B$124&gt;=$B56)*($B$25:$B$124&lt;=$B56+ANALYSIS!$G$5)*($C$25:$C$124&gt;=$C56)*($C$25:$C$124&lt;=$C56+ANALYSIS!$G$6)))</f>
        <v>0</v>
      </c>
      <c r="AB56" cm="1">
        <f t="array" ref="AB56">IF(BH56&gt;0,0,SUMPRODUCT((BH$25:BH$124=0)*($B$25:$B$124&gt;=$B56)*($B$25:$B$124&lt;=$B56+ANALYSIS!$G$5)*($C$25:$C$124&gt;=$C56)*($C$25:$C$124&lt;=$C56+ANALYSIS!$G$6)))</f>
        <v>0</v>
      </c>
      <c r="AC56" cm="1">
        <f t="array" ref="AC56">IF(BI56&gt;0,0,SUMPRODUCT((BI$25:BI$124=0)*($B$25:$B$124&gt;=$B56)*($B$25:$B$124&lt;=$B56+ANALYSIS!$G$5)*($C$25:$C$124&gt;=$C56)*($C$25:$C$124&lt;=$C56+ANALYSIS!$G$6)))</f>
        <v>0</v>
      </c>
      <c r="AD56" cm="1">
        <f t="array" ref="AD56">IF(BJ56&gt;0,0,SUMPRODUCT((BJ$25:BJ$124=0)*($B$25:$B$124&gt;=$B56)*($B$25:$B$124&lt;=$B56+ANALYSIS!$G$5)*($C$25:$C$124&gt;=$C56)*($C$25:$C$124&lt;=$C56+ANALYSIS!$G$6)))</f>
        <v>0</v>
      </c>
      <c r="AE56" cm="1">
        <f t="array" ref="AE56">IF(BK56&gt;0,0,SUMPRODUCT((BK$25:BK$124=0)*($B$25:$B$124&gt;=$B56)*($B$25:$B$124&lt;=$B56+ANALYSIS!$G$5)*($C$25:$C$124&gt;=$C56)*($C$25:$C$124&lt;=$C56+ANALYSIS!$G$6)))</f>
        <v>0</v>
      </c>
      <c r="AF56" cm="1">
        <f t="array" ref="AF56">IF(BL56&gt;0,0,SUMPRODUCT((BL$25:BL$124=0)*($B$25:$B$124&gt;=$B56)*($B$25:$B$124&lt;=$B56+ANALYSIS!$G$5)*($C$25:$C$124&gt;=$C56)*($C$25:$C$124&lt;=$C56+ANALYSIS!$G$6)))</f>
        <v>0</v>
      </c>
      <c r="AH56">
        <f>IF(AND(AX56=0,$B56&gt;=R$22,$B56&lt;=R$22+ANALYSIS!$G$5,$C56&gt;=R$23,$C56&lt;=R$23+ANALYSIS!$G$6),1,0)</f>
        <v>0</v>
      </c>
      <c r="AI56">
        <f>IF(AND(AY56=0,$B56&gt;=S$22,$B56&lt;=S$22+ANALYSIS!$G$5,$C56&gt;=S$23,$C56&lt;=S$23+ANALYSIS!$G$6),1,0)</f>
        <v>0</v>
      </c>
      <c r="AJ56">
        <f>IF(AND(AZ56=0,$B56&gt;=T$22,$B56&lt;=T$22+ANALYSIS!$G$5,$C56&gt;=T$23,$C56&lt;=T$23+ANALYSIS!$G$6),1,0)</f>
        <v>0</v>
      </c>
      <c r="AK56">
        <f>IF(AND(BA56=0,$B56&gt;=U$22,$B56&lt;=U$22+ANALYSIS!$G$5,$C56&gt;=U$23,$C56&lt;=U$23+ANALYSIS!$G$6),1,0)</f>
        <v>0</v>
      </c>
      <c r="AL56">
        <f>IF(AND(BB56=0,$B56&gt;=V$22,$B56&lt;=V$22+ANALYSIS!$G$5,$C56&gt;=V$23,$C56&lt;=V$23+ANALYSIS!$G$6),1,0)</f>
        <v>0</v>
      </c>
      <c r="AM56">
        <f>IF(AND(BC56=0,$B56&gt;=W$22,$B56&lt;=W$22+ANALYSIS!$G$5,$C56&gt;=W$23,$C56&lt;=W$23+ANALYSIS!$G$6),1,0)</f>
        <v>0</v>
      </c>
      <c r="AN56">
        <f>IF(AND(BD56=0,$B56&gt;=X$22,$B56&lt;=X$22+ANALYSIS!$G$5,$C56&gt;=X$23,$C56&lt;=X$23+ANALYSIS!$G$6),1,0)</f>
        <v>1</v>
      </c>
      <c r="AO56">
        <f>IF(AND(BE56=0,$B56&gt;=Y$22,$B56&lt;=Y$22+ANALYSIS!$G$5,$C56&gt;=Y$23,$C56&lt;=Y$23+ANALYSIS!$G$6),1,0)</f>
        <v>0</v>
      </c>
      <c r="AP56">
        <f>IF(AND(BF56=0,$B56&gt;=Z$22,$B56&lt;=Z$22+ANALYSIS!$G$5,$C56&gt;=Z$23,$C56&lt;=Z$23+ANALYSIS!$G$6),1,0)</f>
        <v>0</v>
      </c>
      <c r="AQ56">
        <f>IF(AND(BG56=0,$B56&gt;=AA$22,$B56&lt;=AA$22+ANALYSIS!$G$5,$C56&gt;=AA$23,$C56&lt;=AA$23+ANALYSIS!$G$6),1,0)</f>
        <v>0</v>
      </c>
      <c r="AR56">
        <f>IF(AND(BH56=0,$B56&gt;=AB$22,$B56&lt;=AB$22+ANALYSIS!$G$5,$C56&gt;=AB$23,$C56&lt;=AB$23+ANALYSIS!$G$6),1,0)</f>
        <v>0</v>
      </c>
      <c r="AS56">
        <f>IF(AND(BI56=0,$B56&gt;=AC$22,$B56&lt;=AC$22+ANALYSIS!$G$5,$C56&gt;=AC$23,$C56&lt;=AC$23+ANALYSIS!$G$6),1,0)</f>
        <v>0</v>
      </c>
      <c r="AT56">
        <f>IF(AND(BJ56=0,$B56&gt;=AD$22,$B56&lt;=AD$22+ANALYSIS!$G$5,$C56&gt;=AD$23,$C56&lt;=AD$23+ANALYSIS!$G$6),1,0)</f>
        <v>0</v>
      </c>
      <c r="AU56">
        <f>IF(AND(BK56=0,$B56&gt;=AE$22,$B56&lt;=AE$22+ANALYSIS!$G$5,$C56&gt;=AE$23,$C56&lt;=AE$23+ANALYSIS!$G$6),1,0)</f>
        <v>0</v>
      </c>
      <c r="AV56">
        <f>IF(AND(BL56=0,$B56&gt;=AF$22,$B56&lt;=AF$22+ANALYSIS!$G$5,$C56&gt;=AF$23,$C56&lt;=AF$23+ANALYSIS!$G$6),1,0)</f>
        <v>0</v>
      </c>
      <c r="AX56">
        <v>0</v>
      </c>
      <c r="AY56">
        <f t="shared" si="13"/>
        <v>0</v>
      </c>
      <c r="AZ56">
        <f t="shared" si="14"/>
        <v>0</v>
      </c>
      <c r="BA56">
        <f t="shared" si="15"/>
        <v>0</v>
      </c>
      <c r="BB56">
        <f t="shared" si="16"/>
        <v>0</v>
      </c>
      <c r="BC56">
        <f t="shared" si="17"/>
        <v>0</v>
      </c>
      <c r="BD56">
        <f t="shared" si="18"/>
        <v>0</v>
      </c>
      <c r="BE56">
        <f t="shared" si="19"/>
        <v>1</v>
      </c>
      <c r="BF56">
        <f t="shared" si="20"/>
        <v>1</v>
      </c>
      <c r="BG56">
        <f t="shared" si="21"/>
        <v>1</v>
      </c>
      <c r="BH56">
        <f t="shared" si="22"/>
        <v>1</v>
      </c>
      <c r="BI56">
        <f t="shared" si="23"/>
        <v>1</v>
      </c>
      <c r="BJ56">
        <f t="shared" si="24"/>
        <v>1</v>
      </c>
      <c r="BK56">
        <f t="shared" si="25"/>
        <v>1</v>
      </c>
      <c r="BL56">
        <f t="shared" si="26"/>
        <v>1</v>
      </c>
      <c r="BM56">
        <f t="shared" si="27"/>
        <v>1</v>
      </c>
    </row>
    <row r="57" spans="1:65" x14ac:dyDescent="0.25">
      <c r="A57" s="41" t="str">
        <f>ANALYSIS!B63</f>
        <v>19-33</v>
      </c>
      <c r="B57" s="41">
        <f>ANALYSIS!E63</f>
        <v>58</v>
      </c>
      <c r="C57" s="41">
        <f>ANALYSIS!G63</f>
        <v>23.24</v>
      </c>
      <c r="D57" s="41">
        <f t="shared" si="12"/>
        <v>15</v>
      </c>
      <c r="R57" cm="1">
        <f t="array" ref="R57">IF(AX57&gt;0,0,SUMPRODUCT((AX$25:AX$124=0)*($B$25:$B$124&gt;=$B57)*($B$25:$B$124&lt;=$B57+ANALYSIS!$G$5)*($C$25:$C$124&gt;=$C57)*($C$25:$C$124&lt;=$C57+ANALYSIS!$G$6)))</f>
        <v>3</v>
      </c>
      <c r="S57" cm="1">
        <f t="array" ref="S57">IF(AY57&gt;0,0,SUMPRODUCT((AY$25:AY$124=0)*($B$25:$B$124&gt;=$B57)*($B$25:$B$124&lt;=$B57+ANALYSIS!$G$5)*($C$25:$C$124&gt;=$C57)*($C$25:$C$124&lt;=$C57+ANALYSIS!$G$6)))</f>
        <v>3</v>
      </c>
      <c r="T57" cm="1">
        <f t="array" ref="T57">IF(AZ57&gt;0,0,SUMPRODUCT((AZ$25:AZ$124=0)*($B$25:$B$124&gt;=$B57)*($B$25:$B$124&lt;=$B57+ANALYSIS!$G$5)*($C$25:$C$124&gt;=$C57)*($C$25:$C$124&lt;=$C57+ANALYSIS!$G$6)))</f>
        <v>3</v>
      </c>
      <c r="U57" cm="1">
        <f t="array" ref="U57">IF(BA57&gt;0,0,SUMPRODUCT((BA$25:BA$124=0)*($B$25:$B$124&gt;=$B57)*($B$25:$B$124&lt;=$B57+ANALYSIS!$G$5)*($C$25:$C$124&gt;=$C57)*($C$25:$C$124&lt;=$C57+ANALYSIS!$G$6)))</f>
        <v>3</v>
      </c>
      <c r="V57" cm="1">
        <f t="array" ref="V57">IF(BB57&gt;0,0,SUMPRODUCT((BB$25:BB$124=0)*($B$25:$B$124&gt;=$B57)*($B$25:$B$124&lt;=$B57+ANALYSIS!$G$5)*($C$25:$C$124&gt;=$C57)*($C$25:$C$124&lt;=$C57+ANALYSIS!$G$6)))</f>
        <v>3</v>
      </c>
      <c r="W57" cm="1">
        <f t="array" ref="W57">IF(BC57&gt;0,0,SUMPRODUCT((BC$25:BC$124=0)*($B$25:$B$124&gt;=$B57)*($B$25:$B$124&lt;=$B57+ANALYSIS!$G$5)*($C$25:$C$124&gt;=$C57)*($C$25:$C$124&lt;=$C57+ANALYSIS!$G$6)))</f>
        <v>3</v>
      </c>
      <c r="X57" cm="1">
        <f t="array" ref="X57">IF(BD57&gt;0,0,SUMPRODUCT((BD$25:BD$124=0)*($B$25:$B$124&gt;=$B57)*($B$25:$B$124&lt;=$B57+ANALYSIS!$G$5)*($C$25:$C$124&gt;=$C57)*($C$25:$C$124&lt;=$C57+ANALYSIS!$G$6)))</f>
        <v>3</v>
      </c>
      <c r="Y57" cm="1">
        <f t="array" ref="Y57">IF(BE57&gt;0,0,SUMPRODUCT((BE$25:BE$124=0)*($B$25:$B$124&gt;=$B57)*($B$25:$B$124&lt;=$B57+ANALYSIS!$G$5)*($C$25:$C$124&gt;=$C57)*($C$25:$C$124&lt;=$C57+ANALYSIS!$G$6)))</f>
        <v>3</v>
      </c>
      <c r="Z57" cm="1">
        <f t="array" ref="Z57">IF(BF57&gt;0,0,SUMPRODUCT((BF$25:BF$124=0)*($B$25:$B$124&gt;=$B57)*($B$25:$B$124&lt;=$B57+ANALYSIS!$G$5)*($C$25:$C$124&gt;=$C57)*($C$25:$C$124&lt;=$C57+ANALYSIS!$G$6)))</f>
        <v>3</v>
      </c>
      <c r="AA57" cm="1">
        <f t="array" ref="AA57">IF(BG57&gt;0,0,SUMPRODUCT((BG$25:BG$124=0)*($B$25:$B$124&gt;=$B57)*($B$25:$B$124&lt;=$B57+ANALYSIS!$G$5)*($C$25:$C$124&gt;=$C57)*($C$25:$C$124&lt;=$C57+ANALYSIS!$G$6)))</f>
        <v>2</v>
      </c>
      <c r="AB57" cm="1">
        <f t="array" ref="AB57">IF(BH57&gt;0,0,SUMPRODUCT((BH$25:BH$124=0)*($B$25:$B$124&gt;=$B57)*($B$25:$B$124&lt;=$B57+ANALYSIS!$G$5)*($C$25:$C$124&gt;=$C57)*($C$25:$C$124&lt;=$C57+ANALYSIS!$G$6)))</f>
        <v>2</v>
      </c>
      <c r="AC57" cm="1">
        <f t="array" ref="AC57">IF(BI57&gt;0,0,SUMPRODUCT((BI$25:BI$124=0)*($B$25:$B$124&gt;=$B57)*($B$25:$B$124&lt;=$B57+ANALYSIS!$G$5)*($C$25:$C$124&gt;=$C57)*($C$25:$C$124&lt;=$C57+ANALYSIS!$G$6)))</f>
        <v>2</v>
      </c>
      <c r="AD57" cm="1">
        <f t="array" ref="AD57">IF(BJ57&gt;0,0,SUMPRODUCT((BJ$25:BJ$124=0)*($B$25:$B$124&gt;=$B57)*($B$25:$B$124&lt;=$B57+ANALYSIS!$G$5)*($C$25:$C$124&gt;=$C57)*($C$25:$C$124&lt;=$C57+ANALYSIS!$G$6)))</f>
        <v>2</v>
      </c>
      <c r="AE57" cm="1">
        <f t="array" ref="AE57">IF(BK57&gt;0,0,SUMPRODUCT((BK$25:BK$124=0)*($B$25:$B$124&gt;=$B57)*($B$25:$B$124&lt;=$B57+ANALYSIS!$G$5)*($C$25:$C$124&gt;=$C57)*($C$25:$C$124&lt;=$C57+ANALYSIS!$G$6)))</f>
        <v>2</v>
      </c>
      <c r="AF57" cm="1">
        <f t="array" ref="AF57">IF(BL57&gt;0,0,SUMPRODUCT((BL$25:BL$124=0)*($B$25:$B$124&gt;=$B57)*($B$25:$B$124&lt;=$B57+ANALYSIS!$G$5)*($C$25:$C$124&gt;=$C57)*($C$25:$C$124&lt;=$C57+ANALYSIS!$G$6)))</f>
        <v>2</v>
      </c>
      <c r="AH57">
        <f>IF(AND(AX57=0,$B57&gt;=R$22,$B57&lt;=R$22+ANALYSIS!$G$5,$C57&gt;=R$23,$C57&lt;=R$23+ANALYSIS!$G$6),1,0)</f>
        <v>0</v>
      </c>
      <c r="AI57">
        <f>IF(AND(AY57=0,$B57&gt;=S$22,$B57&lt;=S$22+ANALYSIS!$G$5,$C57&gt;=S$23,$C57&lt;=S$23+ANALYSIS!$G$6),1,0)</f>
        <v>0</v>
      </c>
      <c r="AJ57">
        <f>IF(AND(AZ57=0,$B57&gt;=T$22,$B57&lt;=T$22+ANALYSIS!$G$5,$C57&gt;=T$23,$C57&lt;=T$23+ANALYSIS!$G$6),1,0)</f>
        <v>0</v>
      </c>
      <c r="AK57">
        <f>IF(AND(BA57=0,$B57&gt;=U$22,$B57&lt;=U$22+ANALYSIS!$G$5,$C57&gt;=U$23,$C57&lt;=U$23+ANALYSIS!$G$6),1,0)</f>
        <v>0</v>
      </c>
      <c r="AL57">
        <f>IF(AND(BB57=0,$B57&gt;=V$22,$B57&lt;=V$22+ANALYSIS!$G$5,$C57&gt;=V$23,$C57&lt;=V$23+ANALYSIS!$G$6),1,0)</f>
        <v>0</v>
      </c>
      <c r="AM57">
        <f>IF(AND(BC57=0,$B57&gt;=W$22,$B57&lt;=W$22+ANALYSIS!$G$5,$C57&gt;=W$23,$C57&lt;=W$23+ANALYSIS!$G$6),1,0)</f>
        <v>0</v>
      </c>
      <c r="AN57">
        <f>IF(AND(BD57=0,$B57&gt;=X$22,$B57&lt;=X$22+ANALYSIS!$G$5,$C57&gt;=X$23,$C57&lt;=X$23+ANALYSIS!$G$6),1,0)</f>
        <v>0</v>
      </c>
      <c r="AO57">
        <f>IF(AND(BE57=0,$B57&gt;=Y$22,$B57&lt;=Y$22+ANALYSIS!$G$5,$C57&gt;=Y$23,$C57&lt;=Y$23+ANALYSIS!$G$6),1,0)</f>
        <v>0</v>
      </c>
      <c r="AP57">
        <f>IF(AND(BF57=0,$B57&gt;=Z$22,$B57&lt;=Z$22+ANALYSIS!$G$5,$C57&gt;=Z$23,$C57&lt;=Z$23+ANALYSIS!$G$6),1,0)</f>
        <v>0</v>
      </c>
      <c r="AQ57">
        <f>IF(AND(BG57=0,$B57&gt;=AA$22,$B57&lt;=AA$22+ANALYSIS!$G$5,$C57&gt;=AA$23,$C57&lt;=AA$23+ANALYSIS!$G$6),1,0)</f>
        <v>0</v>
      </c>
      <c r="AR57">
        <f>IF(AND(BH57=0,$B57&gt;=AB$22,$B57&lt;=AB$22+ANALYSIS!$G$5,$C57&gt;=AB$23,$C57&lt;=AB$23+ANALYSIS!$G$6),1,0)</f>
        <v>0</v>
      </c>
      <c r="AS57">
        <f>IF(AND(BI57=0,$B57&gt;=AC$22,$B57&lt;=AC$22+ANALYSIS!$G$5,$C57&gt;=AC$23,$C57&lt;=AC$23+ANALYSIS!$G$6),1,0)</f>
        <v>0</v>
      </c>
      <c r="AT57">
        <f>IF(AND(BJ57=0,$B57&gt;=AD$22,$B57&lt;=AD$22+ANALYSIS!$G$5,$C57&gt;=AD$23,$C57&lt;=AD$23+ANALYSIS!$G$6),1,0)</f>
        <v>0</v>
      </c>
      <c r="AU57">
        <f>IF(AND(BK57=0,$B57&gt;=AE$22,$B57&lt;=AE$22+ANALYSIS!$G$5,$C57&gt;=AE$23,$C57&lt;=AE$23+ANALYSIS!$G$6),1,0)</f>
        <v>0</v>
      </c>
      <c r="AV57">
        <f>IF(AND(BL57=0,$B57&gt;=AF$22,$B57&lt;=AF$22+ANALYSIS!$G$5,$C57&gt;=AF$23,$C57&lt;=AF$23+ANALYSIS!$G$6),1,0)</f>
        <v>1</v>
      </c>
      <c r="AX57">
        <v>0</v>
      </c>
      <c r="AY57">
        <f t="shared" si="13"/>
        <v>0</v>
      </c>
      <c r="AZ57">
        <f t="shared" si="14"/>
        <v>0</v>
      </c>
      <c r="BA57">
        <f t="shared" si="15"/>
        <v>0</v>
      </c>
      <c r="BB57">
        <f t="shared" si="16"/>
        <v>0</v>
      </c>
      <c r="BC57">
        <f t="shared" si="17"/>
        <v>0</v>
      </c>
      <c r="BD57">
        <f t="shared" si="18"/>
        <v>0</v>
      </c>
      <c r="BE57">
        <f t="shared" si="19"/>
        <v>0</v>
      </c>
      <c r="BF57">
        <f t="shared" si="20"/>
        <v>0</v>
      </c>
      <c r="BG57">
        <f t="shared" si="21"/>
        <v>0</v>
      </c>
      <c r="BH57">
        <f t="shared" si="22"/>
        <v>0</v>
      </c>
      <c r="BI57">
        <f t="shared" si="23"/>
        <v>0</v>
      </c>
      <c r="BJ57">
        <f t="shared" si="24"/>
        <v>0</v>
      </c>
      <c r="BK57">
        <f t="shared" si="25"/>
        <v>0</v>
      </c>
      <c r="BL57">
        <f t="shared" si="26"/>
        <v>0</v>
      </c>
      <c r="BM57">
        <f t="shared" si="27"/>
        <v>1</v>
      </c>
    </row>
    <row r="58" spans="1:65" x14ac:dyDescent="0.25">
      <c r="A58" s="41" t="str">
        <f>ANALYSIS!B64</f>
        <v>19-34</v>
      </c>
      <c r="B58" s="41">
        <f>ANALYSIS!E64</f>
        <v>56</v>
      </c>
      <c r="C58" s="41">
        <f>ANALYSIS!G64</f>
        <v>22.34</v>
      </c>
      <c r="D58" s="41">
        <f t="shared" si="12"/>
        <v>5</v>
      </c>
      <c r="R58" cm="1">
        <f t="array" ref="R58">IF(AX58&gt;0,0,SUMPRODUCT((AX$25:AX$124=0)*($B$25:$B$124&gt;=$B58)*($B$25:$B$124&lt;=$B58+ANALYSIS!$G$5)*($C$25:$C$124&gt;=$C58)*($C$25:$C$124&lt;=$C58+ANALYSIS!$G$6)))</f>
        <v>3</v>
      </c>
      <c r="S58" cm="1">
        <f t="array" ref="S58">IF(AY58&gt;0,0,SUMPRODUCT((AY$25:AY$124=0)*($B$25:$B$124&gt;=$B58)*($B$25:$B$124&lt;=$B58+ANALYSIS!$G$5)*($C$25:$C$124&gt;=$C58)*($C$25:$C$124&lt;=$C58+ANALYSIS!$G$6)))</f>
        <v>3</v>
      </c>
      <c r="T58" cm="1">
        <f t="array" ref="T58">IF(AZ58&gt;0,0,SUMPRODUCT((AZ$25:AZ$124=0)*($B$25:$B$124&gt;=$B58)*($B$25:$B$124&lt;=$B58+ANALYSIS!$G$5)*($C$25:$C$124&gt;=$C58)*($C$25:$C$124&lt;=$C58+ANALYSIS!$G$6)))</f>
        <v>3</v>
      </c>
      <c r="U58" cm="1">
        <f t="array" ref="U58">IF(BA58&gt;0,0,SUMPRODUCT((BA$25:BA$124=0)*($B$25:$B$124&gt;=$B58)*($B$25:$B$124&lt;=$B58+ANALYSIS!$G$5)*($C$25:$C$124&gt;=$C58)*($C$25:$C$124&lt;=$C58+ANALYSIS!$G$6)))</f>
        <v>3</v>
      </c>
      <c r="V58" cm="1">
        <f t="array" ref="V58">IF(BB58&gt;0,0,SUMPRODUCT((BB$25:BB$124=0)*($B$25:$B$124&gt;=$B58)*($B$25:$B$124&lt;=$B58+ANALYSIS!$G$5)*($C$25:$C$124&gt;=$C58)*($C$25:$C$124&lt;=$C58+ANALYSIS!$G$6)))</f>
        <v>3</v>
      </c>
      <c r="W58" cm="1">
        <f t="array" ref="W58">IF(BC58&gt;0,0,SUMPRODUCT((BC$25:BC$124=0)*($B$25:$B$124&gt;=$B58)*($B$25:$B$124&lt;=$B58+ANALYSIS!$G$5)*($C$25:$C$124&gt;=$C58)*($C$25:$C$124&lt;=$C58+ANALYSIS!$G$6)))</f>
        <v>0</v>
      </c>
      <c r="X58" cm="1">
        <f t="array" ref="X58">IF(BD58&gt;0,0,SUMPRODUCT((BD$25:BD$124=0)*($B$25:$B$124&gt;=$B58)*($B$25:$B$124&lt;=$B58+ANALYSIS!$G$5)*($C$25:$C$124&gt;=$C58)*($C$25:$C$124&lt;=$C58+ANALYSIS!$G$6)))</f>
        <v>0</v>
      </c>
      <c r="Y58" cm="1">
        <f t="array" ref="Y58">IF(BE58&gt;0,0,SUMPRODUCT((BE$25:BE$124=0)*($B$25:$B$124&gt;=$B58)*($B$25:$B$124&lt;=$B58+ANALYSIS!$G$5)*($C$25:$C$124&gt;=$C58)*($C$25:$C$124&lt;=$C58+ANALYSIS!$G$6)))</f>
        <v>0</v>
      </c>
      <c r="Z58" cm="1">
        <f t="array" ref="Z58">IF(BF58&gt;0,0,SUMPRODUCT((BF$25:BF$124=0)*($B$25:$B$124&gt;=$B58)*($B$25:$B$124&lt;=$B58+ANALYSIS!$G$5)*($C$25:$C$124&gt;=$C58)*($C$25:$C$124&lt;=$C58+ANALYSIS!$G$6)))</f>
        <v>0</v>
      </c>
      <c r="AA58" cm="1">
        <f t="array" ref="AA58">IF(BG58&gt;0,0,SUMPRODUCT((BG$25:BG$124=0)*($B$25:$B$124&gt;=$B58)*($B$25:$B$124&lt;=$B58+ANALYSIS!$G$5)*($C$25:$C$124&gt;=$C58)*($C$25:$C$124&lt;=$C58+ANALYSIS!$G$6)))</f>
        <v>0</v>
      </c>
      <c r="AB58" cm="1">
        <f t="array" ref="AB58">IF(BH58&gt;0,0,SUMPRODUCT((BH$25:BH$124=0)*($B$25:$B$124&gt;=$B58)*($B$25:$B$124&lt;=$B58+ANALYSIS!$G$5)*($C$25:$C$124&gt;=$C58)*($C$25:$C$124&lt;=$C58+ANALYSIS!$G$6)))</f>
        <v>0</v>
      </c>
      <c r="AC58" cm="1">
        <f t="array" ref="AC58">IF(BI58&gt;0,0,SUMPRODUCT((BI$25:BI$124=0)*($B$25:$B$124&gt;=$B58)*($B$25:$B$124&lt;=$B58+ANALYSIS!$G$5)*($C$25:$C$124&gt;=$C58)*($C$25:$C$124&lt;=$C58+ANALYSIS!$G$6)))</f>
        <v>0</v>
      </c>
      <c r="AD58" cm="1">
        <f t="array" ref="AD58">IF(BJ58&gt;0,0,SUMPRODUCT((BJ$25:BJ$124=0)*($B$25:$B$124&gt;=$B58)*($B$25:$B$124&lt;=$B58+ANALYSIS!$G$5)*($C$25:$C$124&gt;=$C58)*($C$25:$C$124&lt;=$C58+ANALYSIS!$G$6)))</f>
        <v>0</v>
      </c>
      <c r="AE58" cm="1">
        <f t="array" ref="AE58">IF(BK58&gt;0,0,SUMPRODUCT((BK$25:BK$124=0)*($B$25:$B$124&gt;=$B58)*($B$25:$B$124&lt;=$B58+ANALYSIS!$G$5)*($C$25:$C$124&gt;=$C58)*($C$25:$C$124&lt;=$C58+ANALYSIS!$G$6)))</f>
        <v>0</v>
      </c>
      <c r="AF58" cm="1">
        <f t="array" ref="AF58">IF(BL58&gt;0,0,SUMPRODUCT((BL$25:BL$124=0)*($B$25:$B$124&gt;=$B58)*($B$25:$B$124&lt;=$B58+ANALYSIS!$G$5)*($C$25:$C$124&gt;=$C58)*($C$25:$C$124&lt;=$C58+ANALYSIS!$G$6)))</f>
        <v>0</v>
      </c>
      <c r="AH58">
        <f>IF(AND(AX58=0,$B58&gt;=R$22,$B58&lt;=R$22+ANALYSIS!$G$5,$C58&gt;=R$23,$C58&lt;=R$23+ANALYSIS!$G$6),1,0)</f>
        <v>0</v>
      </c>
      <c r="AI58">
        <f>IF(AND(AY58=0,$B58&gt;=S$22,$B58&lt;=S$22+ANALYSIS!$G$5,$C58&gt;=S$23,$C58&lt;=S$23+ANALYSIS!$G$6),1,0)</f>
        <v>0</v>
      </c>
      <c r="AJ58">
        <f>IF(AND(AZ58=0,$B58&gt;=T$22,$B58&lt;=T$22+ANALYSIS!$G$5,$C58&gt;=T$23,$C58&lt;=T$23+ANALYSIS!$G$6),1,0)</f>
        <v>0</v>
      </c>
      <c r="AK58">
        <f>IF(AND(BA58=0,$B58&gt;=U$22,$B58&lt;=U$22+ANALYSIS!$G$5,$C58&gt;=U$23,$C58&lt;=U$23+ANALYSIS!$G$6),1,0)</f>
        <v>0</v>
      </c>
      <c r="AL58">
        <f>IF(AND(BB58=0,$B58&gt;=V$22,$B58&lt;=V$22+ANALYSIS!$G$5,$C58&gt;=V$23,$C58&lt;=V$23+ANALYSIS!$G$6),1,0)</f>
        <v>1</v>
      </c>
      <c r="AM58">
        <f>IF(AND(BC58=0,$B58&gt;=W$22,$B58&lt;=W$22+ANALYSIS!$G$5,$C58&gt;=W$23,$C58&lt;=W$23+ANALYSIS!$G$6),1,0)</f>
        <v>0</v>
      </c>
      <c r="AN58">
        <f>IF(AND(BD58=0,$B58&gt;=X$22,$B58&lt;=X$22+ANALYSIS!$G$5,$C58&gt;=X$23,$C58&lt;=X$23+ANALYSIS!$G$6),1,0)</f>
        <v>0</v>
      </c>
      <c r="AO58">
        <f>IF(AND(BE58=0,$B58&gt;=Y$22,$B58&lt;=Y$22+ANALYSIS!$G$5,$C58&gt;=Y$23,$C58&lt;=Y$23+ANALYSIS!$G$6),1,0)</f>
        <v>0</v>
      </c>
      <c r="AP58">
        <f>IF(AND(BF58=0,$B58&gt;=Z$22,$B58&lt;=Z$22+ANALYSIS!$G$5,$C58&gt;=Z$23,$C58&lt;=Z$23+ANALYSIS!$G$6),1,0)</f>
        <v>0</v>
      </c>
      <c r="AQ58">
        <f>IF(AND(BG58=0,$B58&gt;=AA$22,$B58&lt;=AA$22+ANALYSIS!$G$5,$C58&gt;=AA$23,$C58&lt;=AA$23+ANALYSIS!$G$6),1,0)</f>
        <v>0</v>
      </c>
      <c r="AR58">
        <f>IF(AND(BH58=0,$B58&gt;=AB$22,$B58&lt;=AB$22+ANALYSIS!$G$5,$C58&gt;=AB$23,$C58&lt;=AB$23+ANALYSIS!$G$6),1,0)</f>
        <v>0</v>
      </c>
      <c r="AS58">
        <f>IF(AND(BI58=0,$B58&gt;=AC$22,$B58&lt;=AC$22+ANALYSIS!$G$5,$C58&gt;=AC$23,$C58&lt;=AC$23+ANALYSIS!$G$6),1,0)</f>
        <v>0</v>
      </c>
      <c r="AT58">
        <f>IF(AND(BJ58=0,$B58&gt;=AD$22,$B58&lt;=AD$22+ANALYSIS!$G$5,$C58&gt;=AD$23,$C58&lt;=AD$23+ANALYSIS!$G$6),1,0)</f>
        <v>0</v>
      </c>
      <c r="AU58">
        <f>IF(AND(BK58=0,$B58&gt;=AE$22,$B58&lt;=AE$22+ANALYSIS!$G$5,$C58&gt;=AE$23,$C58&lt;=AE$23+ANALYSIS!$G$6),1,0)</f>
        <v>0</v>
      </c>
      <c r="AV58">
        <f>IF(AND(BL58=0,$B58&gt;=AF$22,$B58&lt;=AF$22+ANALYSIS!$G$5,$C58&gt;=AF$23,$C58&lt;=AF$23+ANALYSIS!$G$6),1,0)</f>
        <v>0</v>
      </c>
      <c r="AX58">
        <v>0</v>
      </c>
      <c r="AY58">
        <f t="shared" si="13"/>
        <v>0</v>
      </c>
      <c r="AZ58">
        <f t="shared" si="14"/>
        <v>0</v>
      </c>
      <c r="BA58">
        <f t="shared" si="15"/>
        <v>0</v>
      </c>
      <c r="BB58">
        <f t="shared" si="16"/>
        <v>0</v>
      </c>
      <c r="BC58">
        <f t="shared" si="17"/>
        <v>1</v>
      </c>
      <c r="BD58">
        <f t="shared" si="18"/>
        <v>1</v>
      </c>
      <c r="BE58">
        <f t="shared" si="19"/>
        <v>1</v>
      </c>
      <c r="BF58">
        <f t="shared" si="20"/>
        <v>1</v>
      </c>
      <c r="BG58">
        <f t="shared" si="21"/>
        <v>1</v>
      </c>
      <c r="BH58">
        <f t="shared" si="22"/>
        <v>1</v>
      </c>
      <c r="BI58">
        <f t="shared" si="23"/>
        <v>1</v>
      </c>
      <c r="BJ58">
        <f t="shared" si="24"/>
        <v>1</v>
      </c>
      <c r="BK58">
        <f t="shared" si="25"/>
        <v>1</v>
      </c>
      <c r="BL58">
        <f t="shared" si="26"/>
        <v>1</v>
      </c>
      <c r="BM58">
        <f t="shared" si="27"/>
        <v>1</v>
      </c>
    </row>
    <row r="59" spans="1:65" x14ac:dyDescent="0.25">
      <c r="A59" s="41" t="str">
        <f>ANALYSIS!B65</f>
        <v>19-35</v>
      </c>
      <c r="B59" s="41">
        <f>ANALYSIS!E65</f>
        <v>54</v>
      </c>
      <c r="C59" s="41">
        <f>ANALYSIS!G65</f>
        <v>23.47</v>
      </c>
      <c r="D59" s="41">
        <f t="shared" si="12"/>
        <v>2</v>
      </c>
      <c r="R59" cm="1">
        <f t="array" ref="R59">IF(AX59&gt;0,0,SUMPRODUCT((AX$25:AX$124=0)*($B$25:$B$124&gt;=$B59)*($B$25:$B$124&lt;=$B59+ANALYSIS!$G$5)*($C$25:$C$124&gt;=$C59)*($C$25:$C$124&lt;=$C59+ANALYSIS!$G$6)))</f>
        <v>14</v>
      </c>
      <c r="S59" cm="1">
        <f t="array" ref="S59">IF(AY59&gt;0,0,SUMPRODUCT((AY$25:AY$124=0)*($B$25:$B$124&gt;=$B59)*($B$25:$B$124&lt;=$B59+ANALYSIS!$G$5)*($C$25:$C$124&gt;=$C59)*($C$25:$C$124&lt;=$C59+ANALYSIS!$G$6)))</f>
        <v>7</v>
      </c>
      <c r="T59" cm="1">
        <f t="array" ref="T59">IF(AZ59&gt;0,0,SUMPRODUCT((AZ$25:AZ$124=0)*($B$25:$B$124&gt;=$B59)*($B$25:$B$124&lt;=$B59+ANALYSIS!$G$5)*($C$25:$C$124&gt;=$C59)*($C$25:$C$124&lt;=$C59+ANALYSIS!$G$6)))</f>
        <v>0</v>
      </c>
      <c r="U59" cm="1">
        <f t="array" ref="U59">IF(BA59&gt;0,0,SUMPRODUCT((BA$25:BA$124=0)*($B$25:$B$124&gt;=$B59)*($B$25:$B$124&lt;=$B59+ANALYSIS!$G$5)*($C$25:$C$124&gt;=$C59)*($C$25:$C$124&lt;=$C59+ANALYSIS!$G$6)))</f>
        <v>0</v>
      </c>
      <c r="V59" cm="1">
        <f t="array" ref="V59">IF(BB59&gt;0,0,SUMPRODUCT((BB$25:BB$124=0)*($B$25:$B$124&gt;=$B59)*($B$25:$B$124&lt;=$B59+ANALYSIS!$G$5)*($C$25:$C$124&gt;=$C59)*($C$25:$C$124&lt;=$C59+ANALYSIS!$G$6)))</f>
        <v>0</v>
      </c>
      <c r="W59" cm="1">
        <f t="array" ref="W59">IF(BC59&gt;0,0,SUMPRODUCT((BC$25:BC$124=0)*($B$25:$B$124&gt;=$B59)*($B$25:$B$124&lt;=$B59+ANALYSIS!$G$5)*($C$25:$C$124&gt;=$C59)*($C$25:$C$124&lt;=$C59+ANALYSIS!$G$6)))</f>
        <v>0</v>
      </c>
      <c r="X59" cm="1">
        <f t="array" ref="X59">IF(BD59&gt;0,0,SUMPRODUCT((BD$25:BD$124=0)*($B$25:$B$124&gt;=$B59)*($B$25:$B$124&lt;=$B59+ANALYSIS!$G$5)*($C$25:$C$124&gt;=$C59)*($C$25:$C$124&lt;=$C59+ANALYSIS!$G$6)))</f>
        <v>0</v>
      </c>
      <c r="Y59" cm="1">
        <f t="array" ref="Y59">IF(BE59&gt;0,0,SUMPRODUCT((BE$25:BE$124=0)*($B$25:$B$124&gt;=$B59)*($B$25:$B$124&lt;=$B59+ANALYSIS!$G$5)*($C$25:$C$124&gt;=$C59)*($C$25:$C$124&lt;=$C59+ANALYSIS!$G$6)))</f>
        <v>0</v>
      </c>
      <c r="Z59" cm="1">
        <f t="array" ref="Z59">IF(BF59&gt;0,0,SUMPRODUCT((BF$25:BF$124=0)*($B$25:$B$124&gt;=$B59)*($B$25:$B$124&lt;=$B59+ANALYSIS!$G$5)*($C$25:$C$124&gt;=$C59)*($C$25:$C$124&lt;=$C59+ANALYSIS!$G$6)))</f>
        <v>0</v>
      </c>
      <c r="AA59" cm="1">
        <f t="array" ref="AA59">IF(BG59&gt;0,0,SUMPRODUCT((BG$25:BG$124=0)*($B$25:$B$124&gt;=$B59)*($B$25:$B$124&lt;=$B59+ANALYSIS!$G$5)*($C$25:$C$124&gt;=$C59)*($C$25:$C$124&lt;=$C59+ANALYSIS!$G$6)))</f>
        <v>0</v>
      </c>
      <c r="AB59" cm="1">
        <f t="array" ref="AB59">IF(BH59&gt;0,0,SUMPRODUCT((BH$25:BH$124=0)*($B$25:$B$124&gt;=$B59)*($B$25:$B$124&lt;=$B59+ANALYSIS!$G$5)*($C$25:$C$124&gt;=$C59)*($C$25:$C$124&lt;=$C59+ANALYSIS!$G$6)))</f>
        <v>0</v>
      </c>
      <c r="AC59" cm="1">
        <f t="array" ref="AC59">IF(BI59&gt;0,0,SUMPRODUCT((BI$25:BI$124=0)*($B$25:$B$124&gt;=$B59)*($B$25:$B$124&lt;=$B59+ANALYSIS!$G$5)*($C$25:$C$124&gt;=$C59)*($C$25:$C$124&lt;=$C59+ANALYSIS!$G$6)))</f>
        <v>0</v>
      </c>
      <c r="AD59" cm="1">
        <f t="array" ref="AD59">IF(BJ59&gt;0,0,SUMPRODUCT((BJ$25:BJ$124=0)*($B$25:$B$124&gt;=$B59)*($B$25:$B$124&lt;=$B59+ANALYSIS!$G$5)*($C$25:$C$124&gt;=$C59)*($C$25:$C$124&lt;=$C59+ANALYSIS!$G$6)))</f>
        <v>0</v>
      </c>
      <c r="AE59" cm="1">
        <f t="array" ref="AE59">IF(BK59&gt;0,0,SUMPRODUCT((BK$25:BK$124=0)*($B$25:$B$124&gt;=$B59)*($B$25:$B$124&lt;=$B59+ANALYSIS!$G$5)*($C$25:$C$124&gt;=$C59)*($C$25:$C$124&lt;=$C59+ANALYSIS!$G$6)))</f>
        <v>0</v>
      </c>
      <c r="AF59" cm="1">
        <f t="array" ref="AF59">IF(BL59&gt;0,0,SUMPRODUCT((BL$25:BL$124=0)*($B$25:$B$124&gt;=$B59)*($B$25:$B$124&lt;=$B59+ANALYSIS!$G$5)*($C$25:$C$124&gt;=$C59)*($C$25:$C$124&lt;=$C59+ANALYSIS!$G$6)))</f>
        <v>0</v>
      </c>
      <c r="AH59">
        <f>IF(AND(AX59=0,$B59&gt;=R$22,$B59&lt;=R$22+ANALYSIS!$G$5,$C59&gt;=R$23,$C59&lt;=R$23+ANALYSIS!$G$6),1,0)</f>
        <v>0</v>
      </c>
      <c r="AI59">
        <f>IF(AND(AY59=0,$B59&gt;=S$22,$B59&lt;=S$22+ANALYSIS!$G$5,$C59&gt;=S$23,$C59&lt;=S$23+ANALYSIS!$G$6),1,0)</f>
        <v>1</v>
      </c>
      <c r="AJ59">
        <f>IF(AND(AZ59=0,$B59&gt;=T$22,$B59&lt;=T$22+ANALYSIS!$G$5,$C59&gt;=T$23,$C59&lt;=T$23+ANALYSIS!$G$6),1,0)</f>
        <v>0</v>
      </c>
      <c r="AK59">
        <f>IF(AND(BA59=0,$B59&gt;=U$22,$B59&lt;=U$22+ANALYSIS!$G$5,$C59&gt;=U$23,$C59&lt;=U$23+ANALYSIS!$G$6),1,0)</f>
        <v>0</v>
      </c>
      <c r="AL59">
        <f>IF(AND(BB59=0,$B59&gt;=V$22,$B59&lt;=V$22+ANALYSIS!$G$5,$C59&gt;=V$23,$C59&lt;=V$23+ANALYSIS!$G$6),1,0)</f>
        <v>0</v>
      </c>
      <c r="AM59">
        <f>IF(AND(BC59=0,$B59&gt;=W$22,$B59&lt;=W$22+ANALYSIS!$G$5,$C59&gt;=W$23,$C59&lt;=W$23+ANALYSIS!$G$6),1,0)</f>
        <v>0</v>
      </c>
      <c r="AN59">
        <f>IF(AND(BD59=0,$B59&gt;=X$22,$B59&lt;=X$22+ANALYSIS!$G$5,$C59&gt;=X$23,$C59&lt;=X$23+ANALYSIS!$G$6),1,0)</f>
        <v>0</v>
      </c>
      <c r="AO59">
        <f>IF(AND(BE59=0,$B59&gt;=Y$22,$B59&lt;=Y$22+ANALYSIS!$G$5,$C59&gt;=Y$23,$C59&lt;=Y$23+ANALYSIS!$G$6),1,0)</f>
        <v>0</v>
      </c>
      <c r="AP59">
        <f>IF(AND(BF59=0,$B59&gt;=Z$22,$B59&lt;=Z$22+ANALYSIS!$G$5,$C59&gt;=Z$23,$C59&lt;=Z$23+ANALYSIS!$G$6),1,0)</f>
        <v>0</v>
      </c>
      <c r="AQ59">
        <f>IF(AND(BG59=0,$B59&gt;=AA$22,$B59&lt;=AA$22+ANALYSIS!$G$5,$C59&gt;=AA$23,$C59&lt;=AA$23+ANALYSIS!$G$6),1,0)</f>
        <v>0</v>
      </c>
      <c r="AR59">
        <f>IF(AND(BH59=0,$B59&gt;=AB$22,$B59&lt;=AB$22+ANALYSIS!$G$5,$C59&gt;=AB$23,$C59&lt;=AB$23+ANALYSIS!$G$6),1,0)</f>
        <v>0</v>
      </c>
      <c r="AS59">
        <f>IF(AND(BI59=0,$B59&gt;=AC$22,$B59&lt;=AC$22+ANALYSIS!$G$5,$C59&gt;=AC$23,$C59&lt;=AC$23+ANALYSIS!$G$6),1,0)</f>
        <v>0</v>
      </c>
      <c r="AT59">
        <f>IF(AND(BJ59=0,$B59&gt;=AD$22,$B59&lt;=AD$22+ANALYSIS!$G$5,$C59&gt;=AD$23,$C59&lt;=AD$23+ANALYSIS!$G$6),1,0)</f>
        <v>0</v>
      </c>
      <c r="AU59">
        <f>IF(AND(BK59=0,$B59&gt;=AE$22,$B59&lt;=AE$22+ANALYSIS!$G$5,$C59&gt;=AE$23,$C59&lt;=AE$23+ANALYSIS!$G$6),1,0)</f>
        <v>0</v>
      </c>
      <c r="AV59">
        <f>IF(AND(BL59=0,$B59&gt;=AF$22,$B59&lt;=AF$22+ANALYSIS!$G$5,$C59&gt;=AF$23,$C59&lt;=AF$23+ANALYSIS!$G$6),1,0)</f>
        <v>0</v>
      </c>
      <c r="AX59">
        <v>0</v>
      </c>
      <c r="AY59">
        <f t="shared" si="13"/>
        <v>0</v>
      </c>
      <c r="AZ59">
        <f t="shared" si="14"/>
        <v>1</v>
      </c>
      <c r="BA59">
        <f t="shared" si="15"/>
        <v>1</v>
      </c>
      <c r="BB59">
        <f t="shared" si="16"/>
        <v>1</v>
      </c>
      <c r="BC59">
        <f t="shared" si="17"/>
        <v>1</v>
      </c>
      <c r="BD59">
        <f t="shared" si="18"/>
        <v>1</v>
      </c>
      <c r="BE59">
        <f t="shared" si="19"/>
        <v>1</v>
      </c>
      <c r="BF59">
        <f t="shared" si="20"/>
        <v>1</v>
      </c>
      <c r="BG59">
        <f t="shared" si="21"/>
        <v>1</v>
      </c>
      <c r="BH59">
        <f t="shared" si="22"/>
        <v>1</v>
      </c>
      <c r="BI59">
        <f t="shared" si="23"/>
        <v>1</v>
      </c>
      <c r="BJ59">
        <f t="shared" si="24"/>
        <v>1</v>
      </c>
      <c r="BK59">
        <f t="shared" si="25"/>
        <v>1</v>
      </c>
      <c r="BL59">
        <f t="shared" si="26"/>
        <v>1</v>
      </c>
      <c r="BM59">
        <f t="shared" si="27"/>
        <v>1</v>
      </c>
    </row>
    <row r="60" spans="1:65" x14ac:dyDescent="0.25">
      <c r="A60" s="41" t="str">
        <f>ANALYSIS!B66</f>
        <v>19-36</v>
      </c>
      <c r="B60" s="41">
        <f>ANALYSIS!E66</f>
        <v>57</v>
      </c>
      <c r="C60" s="41">
        <f>ANALYSIS!G66</f>
        <v>23.44</v>
      </c>
      <c r="D60" s="41">
        <f t="shared" si="12"/>
        <v>9</v>
      </c>
      <c r="R60" cm="1">
        <f t="array" ref="R60">IF(AX60&gt;0,0,SUMPRODUCT((AX$25:AX$124=0)*($B$25:$B$124&gt;=$B60)*($B$25:$B$124&lt;=$B60+ANALYSIS!$G$5)*($C$25:$C$124&gt;=$C60)*($C$25:$C$124&lt;=$C60+ANALYSIS!$G$6)))</f>
        <v>4</v>
      </c>
      <c r="S60" cm="1">
        <f t="array" ref="S60">IF(AY60&gt;0,0,SUMPRODUCT((AY$25:AY$124=0)*($B$25:$B$124&gt;=$B60)*($B$25:$B$124&lt;=$B60+ANALYSIS!$G$5)*($C$25:$C$124&gt;=$C60)*($C$25:$C$124&lt;=$C60+ANALYSIS!$G$6)))</f>
        <v>4</v>
      </c>
      <c r="T60" cm="1">
        <f t="array" ref="T60">IF(AZ60&gt;0,0,SUMPRODUCT((AZ$25:AZ$124=0)*($B$25:$B$124&gt;=$B60)*($B$25:$B$124&lt;=$B60+ANALYSIS!$G$5)*($C$25:$C$124&gt;=$C60)*($C$25:$C$124&lt;=$C60+ANALYSIS!$G$6)))</f>
        <v>4</v>
      </c>
      <c r="U60" cm="1">
        <f t="array" ref="U60">IF(BA60&gt;0,0,SUMPRODUCT((BA$25:BA$124=0)*($B$25:$B$124&gt;=$B60)*($B$25:$B$124&lt;=$B60+ANALYSIS!$G$5)*($C$25:$C$124&gt;=$C60)*($C$25:$C$124&lt;=$C60+ANALYSIS!$G$6)))</f>
        <v>4</v>
      </c>
      <c r="V60" cm="1">
        <f t="array" ref="V60">IF(BB60&gt;0,0,SUMPRODUCT((BB$25:BB$124=0)*($B$25:$B$124&gt;=$B60)*($B$25:$B$124&lt;=$B60+ANALYSIS!$G$5)*($C$25:$C$124&gt;=$C60)*($C$25:$C$124&lt;=$C60+ANALYSIS!$G$6)))</f>
        <v>4</v>
      </c>
      <c r="W60" cm="1">
        <f t="array" ref="W60">IF(BC60&gt;0,0,SUMPRODUCT((BC$25:BC$124=0)*($B$25:$B$124&gt;=$B60)*($B$25:$B$124&lt;=$B60+ANALYSIS!$G$5)*($C$25:$C$124&gt;=$C60)*($C$25:$C$124&lt;=$C60+ANALYSIS!$G$6)))</f>
        <v>4</v>
      </c>
      <c r="X60" cm="1">
        <f t="array" ref="X60">IF(BD60&gt;0,0,SUMPRODUCT((BD$25:BD$124=0)*($B$25:$B$124&gt;=$B60)*($B$25:$B$124&lt;=$B60+ANALYSIS!$G$5)*($C$25:$C$124&gt;=$C60)*($C$25:$C$124&lt;=$C60+ANALYSIS!$G$6)))</f>
        <v>4</v>
      </c>
      <c r="Y60" cm="1">
        <f t="array" ref="Y60">IF(BE60&gt;0,0,SUMPRODUCT((BE$25:BE$124=0)*($B$25:$B$124&gt;=$B60)*($B$25:$B$124&lt;=$B60+ANALYSIS!$G$5)*($C$25:$C$124&gt;=$C60)*($C$25:$C$124&lt;=$C60+ANALYSIS!$G$6)))</f>
        <v>4</v>
      </c>
      <c r="Z60" cm="1">
        <f t="array" ref="Z60">IF(BF60&gt;0,0,SUMPRODUCT((BF$25:BF$124=0)*($B$25:$B$124&gt;=$B60)*($B$25:$B$124&lt;=$B60+ANALYSIS!$G$5)*($C$25:$C$124&gt;=$C60)*($C$25:$C$124&lt;=$C60+ANALYSIS!$G$6)))</f>
        <v>4</v>
      </c>
      <c r="AA60" cm="1">
        <f t="array" ref="AA60">IF(BG60&gt;0,0,SUMPRODUCT((BG$25:BG$124=0)*($B$25:$B$124&gt;=$B60)*($B$25:$B$124&lt;=$B60+ANALYSIS!$G$5)*($C$25:$C$124&gt;=$C60)*($C$25:$C$124&lt;=$C60+ANALYSIS!$G$6)))</f>
        <v>0</v>
      </c>
      <c r="AB60" cm="1">
        <f t="array" ref="AB60">IF(BH60&gt;0,0,SUMPRODUCT((BH$25:BH$124=0)*($B$25:$B$124&gt;=$B60)*($B$25:$B$124&lt;=$B60+ANALYSIS!$G$5)*($C$25:$C$124&gt;=$C60)*($C$25:$C$124&lt;=$C60+ANALYSIS!$G$6)))</f>
        <v>0</v>
      </c>
      <c r="AC60" cm="1">
        <f t="array" ref="AC60">IF(BI60&gt;0,0,SUMPRODUCT((BI$25:BI$124=0)*($B$25:$B$124&gt;=$B60)*($B$25:$B$124&lt;=$B60+ANALYSIS!$G$5)*($C$25:$C$124&gt;=$C60)*($C$25:$C$124&lt;=$C60+ANALYSIS!$G$6)))</f>
        <v>0</v>
      </c>
      <c r="AD60" cm="1">
        <f t="array" ref="AD60">IF(BJ60&gt;0,0,SUMPRODUCT((BJ$25:BJ$124=0)*($B$25:$B$124&gt;=$B60)*($B$25:$B$124&lt;=$B60+ANALYSIS!$G$5)*($C$25:$C$124&gt;=$C60)*($C$25:$C$124&lt;=$C60+ANALYSIS!$G$6)))</f>
        <v>0</v>
      </c>
      <c r="AE60" cm="1">
        <f t="array" ref="AE60">IF(BK60&gt;0,0,SUMPRODUCT((BK$25:BK$124=0)*($B$25:$B$124&gt;=$B60)*($B$25:$B$124&lt;=$B60+ANALYSIS!$G$5)*($C$25:$C$124&gt;=$C60)*($C$25:$C$124&lt;=$C60+ANALYSIS!$G$6)))</f>
        <v>0</v>
      </c>
      <c r="AF60" cm="1">
        <f t="array" ref="AF60">IF(BL60&gt;0,0,SUMPRODUCT((BL$25:BL$124=0)*($B$25:$B$124&gt;=$B60)*($B$25:$B$124&lt;=$B60+ANALYSIS!$G$5)*($C$25:$C$124&gt;=$C60)*($C$25:$C$124&lt;=$C60+ANALYSIS!$G$6)))</f>
        <v>0</v>
      </c>
      <c r="AH60">
        <f>IF(AND(AX60=0,$B60&gt;=R$22,$B60&lt;=R$22+ANALYSIS!$G$5,$C60&gt;=R$23,$C60&lt;=R$23+ANALYSIS!$G$6),1,0)</f>
        <v>0</v>
      </c>
      <c r="AI60">
        <f>IF(AND(AY60=0,$B60&gt;=S$22,$B60&lt;=S$22+ANALYSIS!$G$5,$C60&gt;=S$23,$C60&lt;=S$23+ANALYSIS!$G$6),1,0)</f>
        <v>0</v>
      </c>
      <c r="AJ60">
        <f>IF(AND(AZ60=0,$B60&gt;=T$22,$B60&lt;=T$22+ANALYSIS!$G$5,$C60&gt;=T$23,$C60&lt;=T$23+ANALYSIS!$G$6),1,0)</f>
        <v>0</v>
      </c>
      <c r="AK60">
        <f>IF(AND(BA60=0,$B60&gt;=U$22,$B60&lt;=U$22+ANALYSIS!$G$5,$C60&gt;=U$23,$C60&lt;=U$23+ANALYSIS!$G$6),1,0)</f>
        <v>0</v>
      </c>
      <c r="AL60">
        <f>IF(AND(BB60=0,$B60&gt;=V$22,$B60&lt;=V$22+ANALYSIS!$G$5,$C60&gt;=V$23,$C60&lt;=V$23+ANALYSIS!$G$6),1,0)</f>
        <v>0</v>
      </c>
      <c r="AM60">
        <f>IF(AND(BC60=0,$B60&gt;=W$22,$B60&lt;=W$22+ANALYSIS!$G$5,$C60&gt;=W$23,$C60&lt;=W$23+ANALYSIS!$G$6),1,0)</f>
        <v>0</v>
      </c>
      <c r="AN60">
        <f>IF(AND(BD60=0,$B60&gt;=X$22,$B60&lt;=X$22+ANALYSIS!$G$5,$C60&gt;=X$23,$C60&lt;=X$23+ANALYSIS!$G$6),1,0)</f>
        <v>0</v>
      </c>
      <c r="AO60">
        <f>IF(AND(BE60=0,$B60&gt;=Y$22,$B60&lt;=Y$22+ANALYSIS!$G$5,$C60&gt;=Y$23,$C60&lt;=Y$23+ANALYSIS!$G$6),1,0)</f>
        <v>0</v>
      </c>
      <c r="AP60">
        <f>IF(AND(BF60=0,$B60&gt;=Z$22,$B60&lt;=Z$22+ANALYSIS!$G$5,$C60&gt;=Z$23,$C60&lt;=Z$23+ANALYSIS!$G$6),1,0)</f>
        <v>1</v>
      </c>
      <c r="AQ60">
        <f>IF(AND(BG60=0,$B60&gt;=AA$22,$B60&lt;=AA$22+ANALYSIS!$G$5,$C60&gt;=AA$23,$C60&lt;=AA$23+ANALYSIS!$G$6),1,0)</f>
        <v>0</v>
      </c>
      <c r="AR60">
        <f>IF(AND(BH60=0,$B60&gt;=AB$22,$B60&lt;=AB$22+ANALYSIS!$G$5,$C60&gt;=AB$23,$C60&lt;=AB$23+ANALYSIS!$G$6),1,0)</f>
        <v>0</v>
      </c>
      <c r="AS60">
        <f>IF(AND(BI60=0,$B60&gt;=AC$22,$B60&lt;=AC$22+ANALYSIS!$G$5,$C60&gt;=AC$23,$C60&lt;=AC$23+ANALYSIS!$G$6),1,0)</f>
        <v>0</v>
      </c>
      <c r="AT60">
        <f>IF(AND(BJ60=0,$B60&gt;=AD$22,$B60&lt;=AD$22+ANALYSIS!$G$5,$C60&gt;=AD$23,$C60&lt;=AD$23+ANALYSIS!$G$6),1,0)</f>
        <v>0</v>
      </c>
      <c r="AU60">
        <f>IF(AND(BK60=0,$B60&gt;=AE$22,$B60&lt;=AE$22+ANALYSIS!$G$5,$C60&gt;=AE$23,$C60&lt;=AE$23+ANALYSIS!$G$6),1,0)</f>
        <v>0</v>
      </c>
      <c r="AV60">
        <f>IF(AND(BL60=0,$B60&gt;=AF$22,$B60&lt;=AF$22+ANALYSIS!$G$5,$C60&gt;=AF$23,$C60&lt;=AF$23+ANALYSIS!$G$6),1,0)</f>
        <v>0</v>
      </c>
      <c r="AX60">
        <v>0</v>
      </c>
      <c r="AY60">
        <f t="shared" si="13"/>
        <v>0</v>
      </c>
      <c r="AZ60">
        <f t="shared" si="14"/>
        <v>0</v>
      </c>
      <c r="BA60">
        <f t="shared" si="15"/>
        <v>0</v>
      </c>
      <c r="BB60">
        <f t="shared" si="16"/>
        <v>0</v>
      </c>
      <c r="BC60">
        <f t="shared" si="17"/>
        <v>0</v>
      </c>
      <c r="BD60">
        <f t="shared" si="18"/>
        <v>0</v>
      </c>
      <c r="BE60">
        <f t="shared" si="19"/>
        <v>0</v>
      </c>
      <c r="BF60">
        <f t="shared" si="20"/>
        <v>0</v>
      </c>
      <c r="BG60">
        <f t="shared" si="21"/>
        <v>1</v>
      </c>
      <c r="BH60">
        <f t="shared" si="22"/>
        <v>1</v>
      </c>
      <c r="BI60">
        <f t="shared" si="23"/>
        <v>1</v>
      </c>
      <c r="BJ60">
        <f t="shared" si="24"/>
        <v>1</v>
      </c>
      <c r="BK60">
        <f t="shared" si="25"/>
        <v>1</v>
      </c>
      <c r="BL60">
        <f t="shared" si="26"/>
        <v>1</v>
      </c>
      <c r="BM60">
        <f t="shared" si="27"/>
        <v>1</v>
      </c>
    </row>
    <row r="61" spans="1:65" x14ac:dyDescent="0.25">
      <c r="A61" s="41" t="str">
        <f>ANALYSIS!B67</f>
        <v>19-37</v>
      </c>
      <c r="B61" s="41">
        <f>ANALYSIS!E67</f>
        <v>59</v>
      </c>
      <c r="C61" s="41">
        <f>ANALYSIS!G67</f>
        <v>23.96</v>
      </c>
      <c r="D61" s="41" t="str">
        <f t="shared" si="12"/>
        <v/>
      </c>
      <c r="R61" cm="1">
        <f t="array" ref="R61">IF(AX61&gt;0,0,SUMPRODUCT((AX$25:AX$124=0)*($B$25:$B$124&gt;=$B61)*($B$25:$B$124&lt;=$B61+ANALYSIS!$G$5)*($C$25:$C$124&gt;=$C61)*($C$25:$C$124&lt;=$C61+ANALYSIS!$G$6)))</f>
        <v>1</v>
      </c>
      <c r="S61" cm="1">
        <f t="array" ref="S61">IF(AY61&gt;0,0,SUMPRODUCT((AY$25:AY$124=0)*($B$25:$B$124&gt;=$B61)*($B$25:$B$124&lt;=$B61+ANALYSIS!$G$5)*($C$25:$C$124&gt;=$C61)*($C$25:$C$124&lt;=$C61+ANALYSIS!$G$6)))</f>
        <v>1</v>
      </c>
      <c r="T61" cm="1">
        <f t="array" ref="T61">IF(AZ61&gt;0,0,SUMPRODUCT((AZ$25:AZ$124=0)*($B$25:$B$124&gt;=$B61)*($B$25:$B$124&lt;=$B61+ANALYSIS!$G$5)*($C$25:$C$124&gt;=$C61)*($C$25:$C$124&lt;=$C61+ANALYSIS!$G$6)))</f>
        <v>1</v>
      </c>
      <c r="U61" cm="1">
        <f t="array" ref="U61">IF(BA61&gt;0,0,SUMPRODUCT((BA$25:BA$124=0)*($B$25:$B$124&gt;=$B61)*($B$25:$B$124&lt;=$B61+ANALYSIS!$G$5)*($C$25:$C$124&gt;=$C61)*($C$25:$C$124&lt;=$C61+ANALYSIS!$G$6)))</f>
        <v>1</v>
      </c>
      <c r="V61" cm="1">
        <f t="array" ref="V61">IF(BB61&gt;0,0,SUMPRODUCT((BB$25:BB$124=0)*($B$25:$B$124&gt;=$B61)*($B$25:$B$124&lt;=$B61+ANALYSIS!$G$5)*($C$25:$C$124&gt;=$C61)*($C$25:$C$124&lt;=$C61+ANALYSIS!$G$6)))</f>
        <v>1</v>
      </c>
      <c r="W61" cm="1">
        <f t="array" ref="W61">IF(BC61&gt;0,0,SUMPRODUCT((BC$25:BC$124=0)*($B$25:$B$124&gt;=$B61)*($B$25:$B$124&lt;=$B61+ANALYSIS!$G$5)*($C$25:$C$124&gt;=$C61)*($C$25:$C$124&lt;=$C61+ANALYSIS!$G$6)))</f>
        <v>1</v>
      </c>
      <c r="X61" cm="1">
        <f t="array" ref="X61">IF(BD61&gt;0,0,SUMPRODUCT((BD$25:BD$124=0)*($B$25:$B$124&gt;=$B61)*($B$25:$B$124&lt;=$B61+ANALYSIS!$G$5)*($C$25:$C$124&gt;=$C61)*($C$25:$C$124&lt;=$C61+ANALYSIS!$G$6)))</f>
        <v>1</v>
      </c>
      <c r="Y61" cm="1">
        <f t="array" ref="Y61">IF(BE61&gt;0,0,SUMPRODUCT((BE$25:BE$124=0)*($B$25:$B$124&gt;=$B61)*($B$25:$B$124&lt;=$B61+ANALYSIS!$G$5)*($C$25:$C$124&gt;=$C61)*($C$25:$C$124&lt;=$C61+ANALYSIS!$G$6)))</f>
        <v>1</v>
      </c>
      <c r="Z61" cm="1">
        <f t="array" ref="Z61">IF(BF61&gt;0,0,SUMPRODUCT((BF$25:BF$124=0)*($B$25:$B$124&gt;=$B61)*($B$25:$B$124&lt;=$B61+ANALYSIS!$G$5)*($C$25:$C$124&gt;=$C61)*($C$25:$C$124&lt;=$C61+ANALYSIS!$G$6)))</f>
        <v>1</v>
      </c>
      <c r="AA61" cm="1">
        <f t="array" ref="AA61">IF(BG61&gt;0,0,SUMPRODUCT((BG$25:BG$124=0)*($B$25:$B$124&gt;=$B61)*($B$25:$B$124&lt;=$B61+ANALYSIS!$G$5)*($C$25:$C$124&gt;=$C61)*($C$25:$C$124&lt;=$C61+ANALYSIS!$G$6)))</f>
        <v>1</v>
      </c>
      <c r="AB61" cm="1">
        <f t="array" ref="AB61">IF(BH61&gt;0,0,SUMPRODUCT((BH$25:BH$124=0)*($B$25:$B$124&gt;=$B61)*($B$25:$B$124&lt;=$B61+ANALYSIS!$G$5)*($C$25:$C$124&gt;=$C61)*($C$25:$C$124&lt;=$C61+ANALYSIS!$G$6)))</f>
        <v>1</v>
      </c>
      <c r="AC61" cm="1">
        <f t="array" ref="AC61">IF(BI61&gt;0,0,SUMPRODUCT((BI$25:BI$124=0)*($B$25:$B$124&gt;=$B61)*($B$25:$B$124&lt;=$B61+ANALYSIS!$G$5)*($C$25:$C$124&gt;=$C61)*($C$25:$C$124&lt;=$C61+ANALYSIS!$G$6)))</f>
        <v>1</v>
      </c>
      <c r="AD61" cm="1">
        <f t="array" ref="AD61">IF(BJ61&gt;0,0,SUMPRODUCT((BJ$25:BJ$124=0)*($B$25:$B$124&gt;=$B61)*($B$25:$B$124&lt;=$B61+ANALYSIS!$G$5)*($C$25:$C$124&gt;=$C61)*($C$25:$C$124&lt;=$C61+ANALYSIS!$G$6)))</f>
        <v>1</v>
      </c>
      <c r="AE61" cm="1">
        <f t="array" ref="AE61">IF(BK61&gt;0,0,SUMPRODUCT((BK$25:BK$124=0)*($B$25:$B$124&gt;=$B61)*($B$25:$B$124&lt;=$B61+ANALYSIS!$G$5)*($C$25:$C$124&gt;=$C61)*($C$25:$C$124&lt;=$C61+ANALYSIS!$G$6)))</f>
        <v>1</v>
      </c>
      <c r="AF61" cm="1">
        <f t="array" ref="AF61">IF(BL61&gt;0,0,SUMPRODUCT((BL$25:BL$124=0)*($B$25:$B$124&gt;=$B61)*($B$25:$B$124&lt;=$B61+ANALYSIS!$G$5)*($C$25:$C$124&gt;=$C61)*($C$25:$C$124&lt;=$C61+ANALYSIS!$G$6)))</f>
        <v>1</v>
      </c>
      <c r="AH61">
        <f>IF(AND(AX61=0,$B61&gt;=R$22,$B61&lt;=R$22+ANALYSIS!$G$5,$C61&gt;=R$23,$C61&lt;=R$23+ANALYSIS!$G$6),1,0)</f>
        <v>0</v>
      </c>
      <c r="AI61">
        <f>IF(AND(AY61=0,$B61&gt;=S$22,$B61&lt;=S$22+ANALYSIS!$G$5,$C61&gt;=S$23,$C61&lt;=S$23+ANALYSIS!$G$6),1,0)</f>
        <v>0</v>
      </c>
      <c r="AJ61">
        <f>IF(AND(AZ61=0,$B61&gt;=T$22,$B61&lt;=T$22+ANALYSIS!$G$5,$C61&gt;=T$23,$C61&lt;=T$23+ANALYSIS!$G$6),1,0)</f>
        <v>0</v>
      </c>
      <c r="AK61">
        <f>IF(AND(BA61=0,$B61&gt;=U$22,$B61&lt;=U$22+ANALYSIS!$G$5,$C61&gt;=U$23,$C61&lt;=U$23+ANALYSIS!$G$6),1,0)</f>
        <v>0</v>
      </c>
      <c r="AL61">
        <f>IF(AND(BB61=0,$B61&gt;=V$22,$B61&lt;=V$22+ANALYSIS!$G$5,$C61&gt;=V$23,$C61&lt;=V$23+ANALYSIS!$G$6),1,0)</f>
        <v>0</v>
      </c>
      <c r="AM61">
        <f>IF(AND(BC61=0,$B61&gt;=W$22,$B61&lt;=W$22+ANALYSIS!$G$5,$C61&gt;=W$23,$C61&lt;=W$23+ANALYSIS!$G$6),1,0)</f>
        <v>0</v>
      </c>
      <c r="AN61">
        <f>IF(AND(BD61=0,$B61&gt;=X$22,$B61&lt;=X$22+ANALYSIS!$G$5,$C61&gt;=X$23,$C61&lt;=X$23+ANALYSIS!$G$6),1,0)</f>
        <v>0</v>
      </c>
      <c r="AO61">
        <f>IF(AND(BE61=0,$B61&gt;=Y$22,$B61&lt;=Y$22+ANALYSIS!$G$5,$C61&gt;=Y$23,$C61&lt;=Y$23+ANALYSIS!$G$6),1,0)</f>
        <v>0</v>
      </c>
      <c r="AP61">
        <f>IF(AND(BF61=0,$B61&gt;=Z$22,$B61&lt;=Z$22+ANALYSIS!$G$5,$C61&gt;=Z$23,$C61&lt;=Z$23+ANALYSIS!$G$6),1,0)</f>
        <v>0</v>
      </c>
      <c r="AQ61">
        <f>IF(AND(BG61=0,$B61&gt;=AA$22,$B61&lt;=AA$22+ANALYSIS!$G$5,$C61&gt;=AA$23,$C61&lt;=AA$23+ANALYSIS!$G$6),1,0)</f>
        <v>0</v>
      </c>
      <c r="AR61">
        <f>IF(AND(BH61=0,$B61&gt;=AB$22,$B61&lt;=AB$22+ANALYSIS!$G$5,$C61&gt;=AB$23,$C61&lt;=AB$23+ANALYSIS!$G$6),1,0)</f>
        <v>0</v>
      </c>
      <c r="AS61">
        <f>IF(AND(BI61=0,$B61&gt;=AC$22,$B61&lt;=AC$22+ANALYSIS!$G$5,$C61&gt;=AC$23,$C61&lt;=AC$23+ANALYSIS!$G$6),1,0)</f>
        <v>0</v>
      </c>
      <c r="AT61">
        <f>IF(AND(BJ61=0,$B61&gt;=AD$22,$B61&lt;=AD$22+ANALYSIS!$G$5,$C61&gt;=AD$23,$C61&lt;=AD$23+ANALYSIS!$G$6),1,0)</f>
        <v>0</v>
      </c>
      <c r="AU61">
        <f>IF(AND(BK61=0,$B61&gt;=AE$22,$B61&lt;=AE$22+ANALYSIS!$G$5,$C61&gt;=AE$23,$C61&lt;=AE$23+ANALYSIS!$G$6),1,0)</f>
        <v>0</v>
      </c>
      <c r="AV61">
        <f>IF(AND(BL61=0,$B61&gt;=AF$22,$B61&lt;=AF$22+ANALYSIS!$G$5,$C61&gt;=AF$23,$C61&lt;=AF$23+ANALYSIS!$G$6),1,0)</f>
        <v>0</v>
      </c>
      <c r="AX61">
        <v>0</v>
      </c>
      <c r="AY61">
        <f t="shared" si="13"/>
        <v>0</v>
      </c>
      <c r="AZ61">
        <f t="shared" si="14"/>
        <v>0</v>
      </c>
      <c r="BA61">
        <f t="shared" si="15"/>
        <v>0</v>
      </c>
      <c r="BB61">
        <f t="shared" si="16"/>
        <v>0</v>
      </c>
      <c r="BC61">
        <f t="shared" si="17"/>
        <v>0</v>
      </c>
      <c r="BD61">
        <f t="shared" si="18"/>
        <v>0</v>
      </c>
      <c r="BE61">
        <f t="shared" si="19"/>
        <v>0</v>
      </c>
      <c r="BF61">
        <f t="shared" si="20"/>
        <v>0</v>
      </c>
      <c r="BG61">
        <f t="shared" si="21"/>
        <v>0</v>
      </c>
      <c r="BH61">
        <f t="shared" si="22"/>
        <v>0</v>
      </c>
      <c r="BI61">
        <f t="shared" si="23"/>
        <v>0</v>
      </c>
      <c r="BJ61">
        <f t="shared" si="24"/>
        <v>0</v>
      </c>
      <c r="BK61">
        <f t="shared" si="25"/>
        <v>0</v>
      </c>
      <c r="BL61">
        <f t="shared" si="26"/>
        <v>0</v>
      </c>
      <c r="BM61">
        <f t="shared" si="27"/>
        <v>0</v>
      </c>
    </row>
    <row r="62" spans="1:65" x14ac:dyDescent="0.25">
      <c r="A62" s="41" t="str">
        <f>ANALYSIS!B68</f>
        <v>19-38</v>
      </c>
      <c r="B62" s="41">
        <f>ANALYSIS!E68</f>
        <v>53</v>
      </c>
      <c r="C62" s="41">
        <f>ANALYSIS!G68</f>
        <v>23.76</v>
      </c>
      <c r="D62" s="41">
        <f t="shared" si="12"/>
        <v>6</v>
      </c>
      <c r="R62" cm="1">
        <f t="array" ref="R62">IF(AX62&gt;0,0,SUMPRODUCT((AX$25:AX$124=0)*($B$25:$B$124&gt;=$B62)*($B$25:$B$124&lt;=$B62+ANALYSIS!$G$5)*($C$25:$C$124&gt;=$C62)*($C$25:$C$124&lt;=$C62+ANALYSIS!$G$6)))</f>
        <v>12</v>
      </c>
      <c r="S62" cm="1">
        <f t="array" ref="S62">IF(AY62&gt;0,0,SUMPRODUCT((AY$25:AY$124=0)*($B$25:$B$124&gt;=$B62)*($B$25:$B$124&lt;=$B62+ANALYSIS!$G$5)*($C$25:$C$124&gt;=$C62)*($C$25:$C$124&lt;=$C62+ANALYSIS!$G$6)))</f>
        <v>4</v>
      </c>
      <c r="T62" cm="1">
        <f t="array" ref="T62">IF(AZ62&gt;0,0,SUMPRODUCT((AZ$25:AZ$124=0)*($B$25:$B$124&gt;=$B62)*($B$25:$B$124&lt;=$B62+ANALYSIS!$G$5)*($C$25:$C$124&gt;=$C62)*($C$25:$C$124&lt;=$C62+ANALYSIS!$G$6)))</f>
        <v>4</v>
      </c>
      <c r="U62" cm="1">
        <f t="array" ref="U62">IF(BA62&gt;0,0,SUMPRODUCT((BA$25:BA$124=0)*($B$25:$B$124&gt;=$B62)*($B$25:$B$124&lt;=$B62+ANALYSIS!$G$5)*($C$25:$C$124&gt;=$C62)*($C$25:$C$124&lt;=$C62+ANALYSIS!$G$6)))</f>
        <v>4</v>
      </c>
      <c r="V62" cm="1">
        <f t="array" ref="V62">IF(BB62&gt;0,0,SUMPRODUCT((BB$25:BB$124=0)*($B$25:$B$124&gt;=$B62)*($B$25:$B$124&lt;=$B62+ANALYSIS!$G$5)*($C$25:$C$124&gt;=$C62)*($C$25:$C$124&lt;=$C62+ANALYSIS!$G$6)))</f>
        <v>4</v>
      </c>
      <c r="W62" cm="1">
        <f t="array" ref="W62">IF(BC62&gt;0,0,SUMPRODUCT((BC$25:BC$124=0)*($B$25:$B$124&gt;=$B62)*($B$25:$B$124&lt;=$B62+ANALYSIS!$G$5)*($C$25:$C$124&gt;=$C62)*($C$25:$C$124&lt;=$C62+ANALYSIS!$G$6)))</f>
        <v>4</v>
      </c>
      <c r="X62" cm="1">
        <f t="array" ref="X62">IF(BD62&gt;0,0,SUMPRODUCT((BD$25:BD$124=0)*($B$25:$B$124&gt;=$B62)*($B$25:$B$124&lt;=$B62+ANALYSIS!$G$5)*($C$25:$C$124&gt;=$C62)*($C$25:$C$124&lt;=$C62+ANALYSIS!$G$6)))</f>
        <v>0</v>
      </c>
      <c r="Y62" cm="1">
        <f t="array" ref="Y62">IF(BE62&gt;0,0,SUMPRODUCT((BE$25:BE$124=0)*($B$25:$B$124&gt;=$B62)*($B$25:$B$124&lt;=$B62+ANALYSIS!$G$5)*($C$25:$C$124&gt;=$C62)*($C$25:$C$124&lt;=$C62+ANALYSIS!$G$6)))</f>
        <v>0</v>
      </c>
      <c r="Z62" cm="1">
        <f t="array" ref="Z62">IF(BF62&gt;0,0,SUMPRODUCT((BF$25:BF$124=0)*($B$25:$B$124&gt;=$B62)*($B$25:$B$124&lt;=$B62+ANALYSIS!$G$5)*($C$25:$C$124&gt;=$C62)*($C$25:$C$124&lt;=$C62+ANALYSIS!$G$6)))</f>
        <v>0</v>
      </c>
      <c r="AA62" cm="1">
        <f t="array" ref="AA62">IF(BG62&gt;0,0,SUMPRODUCT((BG$25:BG$124=0)*($B$25:$B$124&gt;=$B62)*($B$25:$B$124&lt;=$B62+ANALYSIS!$G$5)*($C$25:$C$124&gt;=$C62)*($C$25:$C$124&lt;=$C62+ANALYSIS!$G$6)))</f>
        <v>0</v>
      </c>
      <c r="AB62" cm="1">
        <f t="array" ref="AB62">IF(BH62&gt;0,0,SUMPRODUCT((BH$25:BH$124=0)*($B$25:$B$124&gt;=$B62)*($B$25:$B$124&lt;=$B62+ANALYSIS!$G$5)*($C$25:$C$124&gt;=$C62)*($C$25:$C$124&lt;=$C62+ANALYSIS!$G$6)))</f>
        <v>0</v>
      </c>
      <c r="AC62" cm="1">
        <f t="array" ref="AC62">IF(BI62&gt;0,0,SUMPRODUCT((BI$25:BI$124=0)*($B$25:$B$124&gt;=$B62)*($B$25:$B$124&lt;=$B62+ANALYSIS!$G$5)*($C$25:$C$124&gt;=$C62)*($C$25:$C$124&lt;=$C62+ANALYSIS!$G$6)))</f>
        <v>0</v>
      </c>
      <c r="AD62" cm="1">
        <f t="array" ref="AD62">IF(BJ62&gt;0,0,SUMPRODUCT((BJ$25:BJ$124=0)*($B$25:$B$124&gt;=$B62)*($B$25:$B$124&lt;=$B62+ANALYSIS!$G$5)*($C$25:$C$124&gt;=$C62)*($C$25:$C$124&lt;=$C62+ANALYSIS!$G$6)))</f>
        <v>0</v>
      </c>
      <c r="AE62" cm="1">
        <f t="array" ref="AE62">IF(BK62&gt;0,0,SUMPRODUCT((BK$25:BK$124=0)*($B$25:$B$124&gt;=$B62)*($B$25:$B$124&lt;=$B62+ANALYSIS!$G$5)*($C$25:$C$124&gt;=$C62)*($C$25:$C$124&lt;=$C62+ANALYSIS!$G$6)))</f>
        <v>0</v>
      </c>
      <c r="AF62" cm="1">
        <f t="array" ref="AF62">IF(BL62&gt;0,0,SUMPRODUCT((BL$25:BL$124=0)*($B$25:$B$124&gt;=$B62)*($B$25:$B$124&lt;=$B62+ANALYSIS!$G$5)*($C$25:$C$124&gt;=$C62)*($C$25:$C$124&lt;=$C62+ANALYSIS!$G$6)))</f>
        <v>0</v>
      </c>
      <c r="AH62">
        <f>IF(AND(AX62=0,$B62&gt;=R$22,$B62&lt;=R$22+ANALYSIS!$G$5,$C62&gt;=R$23,$C62&lt;=R$23+ANALYSIS!$G$6),1,0)</f>
        <v>0</v>
      </c>
      <c r="AI62">
        <f>IF(AND(AY62=0,$B62&gt;=S$22,$B62&lt;=S$22+ANALYSIS!$G$5,$C62&gt;=S$23,$C62&lt;=S$23+ANALYSIS!$G$6),1,0)</f>
        <v>0</v>
      </c>
      <c r="AJ62">
        <f>IF(AND(AZ62=0,$B62&gt;=T$22,$B62&lt;=T$22+ANALYSIS!$G$5,$C62&gt;=T$23,$C62&lt;=T$23+ANALYSIS!$G$6),1,0)</f>
        <v>0</v>
      </c>
      <c r="AK62">
        <f>IF(AND(BA62=0,$B62&gt;=U$22,$B62&lt;=U$22+ANALYSIS!$G$5,$C62&gt;=U$23,$C62&lt;=U$23+ANALYSIS!$G$6),1,0)</f>
        <v>0</v>
      </c>
      <c r="AL62">
        <f>IF(AND(BB62=0,$B62&gt;=V$22,$B62&lt;=V$22+ANALYSIS!$G$5,$C62&gt;=V$23,$C62&lt;=V$23+ANALYSIS!$G$6),1,0)</f>
        <v>0</v>
      </c>
      <c r="AM62">
        <f>IF(AND(BC62=0,$B62&gt;=W$22,$B62&lt;=W$22+ANALYSIS!$G$5,$C62&gt;=W$23,$C62&lt;=W$23+ANALYSIS!$G$6),1,0)</f>
        <v>1</v>
      </c>
      <c r="AN62">
        <f>IF(AND(BD62=0,$B62&gt;=X$22,$B62&lt;=X$22+ANALYSIS!$G$5,$C62&gt;=X$23,$C62&lt;=X$23+ANALYSIS!$G$6),1,0)</f>
        <v>0</v>
      </c>
      <c r="AO62">
        <f>IF(AND(BE62=0,$B62&gt;=Y$22,$B62&lt;=Y$22+ANALYSIS!$G$5,$C62&gt;=Y$23,$C62&lt;=Y$23+ANALYSIS!$G$6),1,0)</f>
        <v>0</v>
      </c>
      <c r="AP62">
        <f>IF(AND(BF62=0,$B62&gt;=Z$22,$B62&lt;=Z$22+ANALYSIS!$G$5,$C62&gt;=Z$23,$C62&lt;=Z$23+ANALYSIS!$G$6),1,0)</f>
        <v>0</v>
      </c>
      <c r="AQ62">
        <f>IF(AND(BG62=0,$B62&gt;=AA$22,$B62&lt;=AA$22+ANALYSIS!$G$5,$C62&gt;=AA$23,$C62&lt;=AA$23+ANALYSIS!$G$6),1,0)</f>
        <v>0</v>
      </c>
      <c r="AR62">
        <f>IF(AND(BH62=0,$B62&gt;=AB$22,$B62&lt;=AB$22+ANALYSIS!$G$5,$C62&gt;=AB$23,$C62&lt;=AB$23+ANALYSIS!$G$6),1,0)</f>
        <v>0</v>
      </c>
      <c r="AS62">
        <f>IF(AND(BI62=0,$B62&gt;=AC$22,$B62&lt;=AC$22+ANALYSIS!$G$5,$C62&gt;=AC$23,$C62&lt;=AC$23+ANALYSIS!$G$6),1,0)</f>
        <v>0</v>
      </c>
      <c r="AT62">
        <f>IF(AND(BJ62=0,$B62&gt;=AD$22,$B62&lt;=AD$22+ANALYSIS!$G$5,$C62&gt;=AD$23,$C62&lt;=AD$23+ANALYSIS!$G$6),1,0)</f>
        <v>0</v>
      </c>
      <c r="AU62">
        <f>IF(AND(BK62=0,$B62&gt;=AE$22,$B62&lt;=AE$22+ANALYSIS!$G$5,$C62&gt;=AE$23,$C62&lt;=AE$23+ANALYSIS!$G$6),1,0)</f>
        <v>0</v>
      </c>
      <c r="AV62">
        <f>IF(AND(BL62=0,$B62&gt;=AF$22,$B62&lt;=AF$22+ANALYSIS!$G$5,$C62&gt;=AF$23,$C62&lt;=AF$23+ANALYSIS!$G$6),1,0)</f>
        <v>0</v>
      </c>
      <c r="AX62">
        <v>0</v>
      </c>
      <c r="AY62">
        <f t="shared" si="13"/>
        <v>0</v>
      </c>
      <c r="AZ62">
        <f t="shared" si="14"/>
        <v>0</v>
      </c>
      <c r="BA62">
        <f t="shared" si="15"/>
        <v>0</v>
      </c>
      <c r="BB62">
        <f t="shared" si="16"/>
        <v>0</v>
      </c>
      <c r="BC62">
        <f t="shared" si="17"/>
        <v>0</v>
      </c>
      <c r="BD62">
        <f t="shared" si="18"/>
        <v>1</v>
      </c>
      <c r="BE62">
        <f t="shared" si="19"/>
        <v>1</v>
      </c>
      <c r="BF62">
        <f t="shared" si="20"/>
        <v>1</v>
      </c>
      <c r="BG62">
        <f t="shared" si="21"/>
        <v>1</v>
      </c>
      <c r="BH62">
        <f t="shared" si="22"/>
        <v>1</v>
      </c>
      <c r="BI62">
        <f t="shared" si="23"/>
        <v>1</v>
      </c>
      <c r="BJ62">
        <f t="shared" si="24"/>
        <v>1</v>
      </c>
      <c r="BK62">
        <f t="shared" si="25"/>
        <v>1</v>
      </c>
      <c r="BL62">
        <f t="shared" si="26"/>
        <v>1</v>
      </c>
      <c r="BM62">
        <f t="shared" si="27"/>
        <v>1</v>
      </c>
    </row>
    <row r="63" spans="1:65" x14ac:dyDescent="0.25">
      <c r="A63" s="41" t="str">
        <f>ANALYSIS!B69</f>
        <v>19-39</v>
      </c>
      <c r="B63" s="41">
        <f>ANALYSIS!E69</f>
        <v>55</v>
      </c>
      <c r="C63" s="41">
        <f>ANALYSIS!G69</f>
        <v>21.18</v>
      </c>
      <c r="D63" s="41" t="str">
        <f t="shared" si="12"/>
        <v/>
      </c>
      <c r="R63" cm="1">
        <f t="array" ref="R63">IF(AX63&gt;0,0,SUMPRODUCT((AX$25:AX$124=0)*($B$25:$B$124&gt;=$B63)*($B$25:$B$124&lt;=$B63+ANALYSIS!$G$5)*($C$25:$C$124&gt;=$C63)*($C$25:$C$124&lt;=$C63+ANALYSIS!$G$6)))</f>
        <v>2</v>
      </c>
      <c r="S63" cm="1">
        <f t="array" ref="S63">IF(AY63&gt;0,0,SUMPRODUCT((AY$25:AY$124=0)*($B$25:$B$124&gt;=$B63)*($B$25:$B$124&lt;=$B63+ANALYSIS!$G$5)*($C$25:$C$124&gt;=$C63)*($C$25:$C$124&lt;=$C63+ANALYSIS!$G$6)))</f>
        <v>2</v>
      </c>
      <c r="T63" cm="1">
        <f t="array" ref="T63">IF(AZ63&gt;0,0,SUMPRODUCT((AZ$25:AZ$124=0)*($B$25:$B$124&gt;=$B63)*($B$25:$B$124&lt;=$B63+ANALYSIS!$G$5)*($C$25:$C$124&gt;=$C63)*($C$25:$C$124&lt;=$C63+ANALYSIS!$G$6)))</f>
        <v>2</v>
      </c>
      <c r="U63" cm="1">
        <f t="array" ref="U63">IF(BA63&gt;0,0,SUMPRODUCT((BA$25:BA$124=0)*($B$25:$B$124&gt;=$B63)*($B$25:$B$124&lt;=$B63+ANALYSIS!$G$5)*($C$25:$C$124&gt;=$C63)*($C$25:$C$124&lt;=$C63+ANALYSIS!$G$6)))</f>
        <v>2</v>
      </c>
      <c r="V63" cm="1">
        <f t="array" ref="V63">IF(BB63&gt;0,0,SUMPRODUCT((BB$25:BB$124=0)*($B$25:$B$124&gt;=$B63)*($B$25:$B$124&lt;=$B63+ANALYSIS!$G$5)*($C$25:$C$124&gt;=$C63)*($C$25:$C$124&lt;=$C63+ANALYSIS!$G$6)))</f>
        <v>1</v>
      </c>
      <c r="W63" cm="1">
        <f t="array" ref="W63">IF(BC63&gt;0,0,SUMPRODUCT((BC$25:BC$124=0)*($B$25:$B$124&gt;=$B63)*($B$25:$B$124&lt;=$B63+ANALYSIS!$G$5)*($C$25:$C$124&gt;=$C63)*($C$25:$C$124&lt;=$C63+ANALYSIS!$G$6)))</f>
        <v>1</v>
      </c>
      <c r="X63" cm="1">
        <f t="array" ref="X63">IF(BD63&gt;0,0,SUMPRODUCT((BD$25:BD$124=0)*($B$25:$B$124&gt;=$B63)*($B$25:$B$124&lt;=$B63+ANALYSIS!$G$5)*($C$25:$C$124&gt;=$C63)*($C$25:$C$124&lt;=$C63+ANALYSIS!$G$6)))</f>
        <v>1</v>
      </c>
      <c r="Y63" cm="1">
        <f t="array" ref="Y63">IF(BE63&gt;0,0,SUMPRODUCT((BE$25:BE$124=0)*($B$25:$B$124&gt;=$B63)*($B$25:$B$124&lt;=$B63+ANALYSIS!$G$5)*($C$25:$C$124&gt;=$C63)*($C$25:$C$124&lt;=$C63+ANALYSIS!$G$6)))</f>
        <v>1</v>
      </c>
      <c r="Z63" cm="1">
        <f t="array" ref="Z63">IF(BF63&gt;0,0,SUMPRODUCT((BF$25:BF$124=0)*($B$25:$B$124&gt;=$B63)*($B$25:$B$124&lt;=$B63+ANALYSIS!$G$5)*($C$25:$C$124&gt;=$C63)*($C$25:$C$124&lt;=$C63+ANALYSIS!$G$6)))</f>
        <v>1</v>
      </c>
      <c r="AA63" cm="1">
        <f t="array" ref="AA63">IF(BG63&gt;0,0,SUMPRODUCT((BG$25:BG$124=0)*($B$25:$B$124&gt;=$B63)*($B$25:$B$124&lt;=$B63+ANALYSIS!$G$5)*($C$25:$C$124&gt;=$C63)*($C$25:$C$124&lt;=$C63+ANALYSIS!$G$6)))</f>
        <v>1</v>
      </c>
      <c r="AB63" cm="1">
        <f t="array" ref="AB63">IF(BH63&gt;0,0,SUMPRODUCT((BH$25:BH$124=0)*($B$25:$B$124&gt;=$B63)*($B$25:$B$124&lt;=$B63+ANALYSIS!$G$5)*($C$25:$C$124&gt;=$C63)*($C$25:$C$124&lt;=$C63+ANALYSIS!$G$6)))</f>
        <v>1</v>
      </c>
      <c r="AC63" cm="1">
        <f t="array" ref="AC63">IF(BI63&gt;0,0,SUMPRODUCT((BI$25:BI$124=0)*($B$25:$B$124&gt;=$B63)*($B$25:$B$124&lt;=$B63+ANALYSIS!$G$5)*($C$25:$C$124&gt;=$C63)*($C$25:$C$124&lt;=$C63+ANALYSIS!$G$6)))</f>
        <v>1</v>
      </c>
      <c r="AD63" cm="1">
        <f t="array" ref="AD63">IF(BJ63&gt;0,0,SUMPRODUCT((BJ$25:BJ$124=0)*($B$25:$B$124&gt;=$B63)*($B$25:$B$124&lt;=$B63+ANALYSIS!$G$5)*($C$25:$C$124&gt;=$C63)*($C$25:$C$124&lt;=$C63+ANALYSIS!$G$6)))</f>
        <v>1</v>
      </c>
      <c r="AE63" cm="1">
        <f t="array" ref="AE63">IF(BK63&gt;0,0,SUMPRODUCT((BK$25:BK$124=0)*($B$25:$B$124&gt;=$B63)*($B$25:$B$124&lt;=$B63+ANALYSIS!$G$5)*($C$25:$C$124&gt;=$C63)*($C$25:$C$124&lt;=$C63+ANALYSIS!$G$6)))</f>
        <v>1</v>
      </c>
      <c r="AF63" cm="1">
        <f t="array" ref="AF63">IF(BL63&gt;0,0,SUMPRODUCT((BL$25:BL$124=0)*($B$25:$B$124&gt;=$B63)*($B$25:$B$124&lt;=$B63+ANALYSIS!$G$5)*($C$25:$C$124&gt;=$C63)*($C$25:$C$124&lt;=$C63+ANALYSIS!$G$6)))</f>
        <v>1</v>
      </c>
      <c r="AH63">
        <f>IF(AND(AX63=0,$B63&gt;=R$22,$B63&lt;=R$22+ANALYSIS!$G$5,$C63&gt;=R$23,$C63&lt;=R$23+ANALYSIS!$G$6),1,0)</f>
        <v>0</v>
      </c>
      <c r="AI63">
        <f>IF(AND(AY63=0,$B63&gt;=S$22,$B63&lt;=S$22+ANALYSIS!$G$5,$C63&gt;=S$23,$C63&lt;=S$23+ANALYSIS!$G$6),1,0)</f>
        <v>0</v>
      </c>
      <c r="AJ63">
        <f>IF(AND(AZ63=0,$B63&gt;=T$22,$B63&lt;=T$22+ANALYSIS!$G$5,$C63&gt;=T$23,$C63&lt;=T$23+ANALYSIS!$G$6),1,0)</f>
        <v>0</v>
      </c>
      <c r="AK63">
        <f>IF(AND(BA63=0,$B63&gt;=U$22,$B63&lt;=U$22+ANALYSIS!$G$5,$C63&gt;=U$23,$C63&lt;=U$23+ANALYSIS!$G$6),1,0)</f>
        <v>0</v>
      </c>
      <c r="AL63">
        <f>IF(AND(BB63=0,$B63&gt;=V$22,$B63&lt;=V$22+ANALYSIS!$G$5,$C63&gt;=V$23,$C63&lt;=V$23+ANALYSIS!$G$6),1,0)</f>
        <v>0</v>
      </c>
      <c r="AM63">
        <f>IF(AND(BC63=0,$B63&gt;=W$22,$B63&lt;=W$22+ANALYSIS!$G$5,$C63&gt;=W$23,$C63&lt;=W$23+ANALYSIS!$G$6),1,0)</f>
        <v>0</v>
      </c>
      <c r="AN63">
        <f>IF(AND(BD63=0,$B63&gt;=X$22,$B63&lt;=X$22+ANALYSIS!$G$5,$C63&gt;=X$23,$C63&lt;=X$23+ANALYSIS!$G$6),1,0)</f>
        <v>0</v>
      </c>
      <c r="AO63">
        <f>IF(AND(BE63=0,$B63&gt;=Y$22,$B63&lt;=Y$22+ANALYSIS!$G$5,$C63&gt;=Y$23,$C63&lt;=Y$23+ANALYSIS!$G$6),1,0)</f>
        <v>0</v>
      </c>
      <c r="AP63">
        <f>IF(AND(BF63=0,$B63&gt;=Z$22,$B63&lt;=Z$22+ANALYSIS!$G$5,$C63&gt;=Z$23,$C63&lt;=Z$23+ANALYSIS!$G$6),1,0)</f>
        <v>0</v>
      </c>
      <c r="AQ63">
        <f>IF(AND(BG63=0,$B63&gt;=AA$22,$B63&lt;=AA$22+ANALYSIS!$G$5,$C63&gt;=AA$23,$C63&lt;=AA$23+ANALYSIS!$G$6),1,0)</f>
        <v>0</v>
      </c>
      <c r="AR63">
        <f>IF(AND(BH63=0,$B63&gt;=AB$22,$B63&lt;=AB$22+ANALYSIS!$G$5,$C63&gt;=AB$23,$C63&lt;=AB$23+ANALYSIS!$G$6),1,0)</f>
        <v>0</v>
      </c>
      <c r="AS63">
        <f>IF(AND(BI63=0,$B63&gt;=AC$22,$B63&lt;=AC$22+ANALYSIS!$G$5,$C63&gt;=AC$23,$C63&lt;=AC$23+ANALYSIS!$G$6),1,0)</f>
        <v>0</v>
      </c>
      <c r="AT63">
        <f>IF(AND(BJ63=0,$B63&gt;=AD$22,$B63&lt;=AD$22+ANALYSIS!$G$5,$C63&gt;=AD$23,$C63&lt;=AD$23+ANALYSIS!$G$6),1,0)</f>
        <v>0</v>
      </c>
      <c r="AU63">
        <f>IF(AND(BK63=0,$B63&gt;=AE$22,$B63&lt;=AE$22+ANALYSIS!$G$5,$C63&gt;=AE$23,$C63&lt;=AE$23+ANALYSIS!$G$6),1,0)</f>
        <v>0</v>
      </c>
      <c r="AV63">
        <f>IF(AND(BL63=0,$B63&gt;=AF$22,$B63&lt;=AF$22+ANALYSIS!$G$5,$C63&gt;=AF$23,$C63&lt;=AF$23+ANALYSIS!$G$6),1,0)</f>
        <v>0</v>
      </c>
      <c r="AX63">
        <v>0</v>
      </c>
      <c r="AY63">
        <f t="shared" si="13"/>
        <v>0</v>
      </c>
      <c r="AZ63">
        <f t="shared" si="14"/>
        <v>0</v>
      </c>
      <c r="BA63">
        <f t="shared" si="15"/>
        <v>0</v>
      </c>
      <c r="BB63">
        <f t="shared" si="16"/>
        <v>0</v>
      </c>
      <c r="BC63">
        <f t="shared" si="17"/>
        <v>0</v>
      </c>
      <c r="BD63">
        <f t="shared" si="18"/>
        <v>0</v>
      </c>
      <c r="BE63">
        <f t="shared" si="19"/>
        <v>0</v>
      </c>
      <c r="BF63">
        <f t="shared" si="20"/>
        <v>0</v>
      </c>
      <c r="BG63">
        <f t="shared" si="21"/>
        <v>0</v>
      </c>
      <c r="BH63">
        <f t="shared" si="22"/>
        <v>0</v>
      </c>
      <c r="BI63">
        <f t="shared" si="23"/>
        <v>0</v>
      </c>
      <c r="BJ63">
        <f t="shared" si="24"/>
        <v>0</v>
      </c>
      <c r="BK63">
        <f t="shared" si="25"/>
        <v>0</v>
      </c>
      <c r="BL63">
        <f t="shared" si="26"/>
        <v>0</v>
      </c>
      <c r="BM63">
        <f t="shared" si="27"/>
        <v>0</v>
      </c>
    </row>
    <row r="64" spans="1:65" x14ac:dyDescent="0.25">
      <c r="A64" s="41" t="str">
        <f>ANALYSIS!B70</f>
        <v>19-40</v>
      </c>
      <c r="B64" s="41">
        <f>ANALYSIS!E70</f>
        <v>52</v>
      </c>
      <c r="C64" s="41">
        <f>ANALYSIS!G70</f>
        <v>23.46</v>
      </c>
      <c r="D64" s="41">
        <f t="shared" si="12"/>
        <v>6</v>
      </c>
      <c r="R64" cm="1">
        <f t="array" ref="R64">IF(AX64&gt;0,0,SUMPRODUCT((AX$25:AX$124=0)*($B$25:$B$124&gt;=$B64)*($B$25:$B$124&lt;=$B64+ANALYSIS!$G$5)*($C$25:$C$124&gt;=$C64)*($C$25:$C$124&lt;=$C64+ANALYSIS!$G$6)))</f>
        <v>12</v>
      </c>
      <c r="S64" cm="1">
        <f t="array" ref="S64">IF(AY64&gt;0,0,SUMPRODUCT((AY$25:AY$124=0)*($B$25:$B$124&gt;=$B64)*($B$25:$B$124&lt;=$B64+ANALYSIS!$G$5)*($C$25:$C$124&gt;=$C64)*($C$25:$C$124&lt;=$C64+ANALYSIS!$G$6)))</f>
        <v>8</v>
      </c>
      <c r="T64" cm="1">
        <f t="array" ref="T64">IF(AZ64&gt;0,0,SUMPRODUCT((AZ$25:AZ$124=0)*($B$25:$B$124&gt;=$B64)*($B$25:$B$124&lt;=$B64+ANALYSIS!$G$5)*($C$25:$C$124&gt;=$C64)*($C$25:$C$124&lt;=$C64+ANALYSIS!$G$6)))</f>
        <v>6</v>
      </c>
      <c r="U64" cm="1">
        <f t="array" ref="U64">IF(BA64&gt;0,0,SUMPRODUCT((BA$25:BA$124=0)*($B$25:$B$124&gt;=$B64)*($B$25:$B$124&lt;=$B64+ANALYSIS!$G$5)*($C$25:$C$124&gt;=$C64)*($C$25:$C$124&lt;=$C64+ANALYSIS!$G$6)))</f>
        <v>6</v>
      </c>
      <c r="V64" cm="1">
        <f t="array" ref="V64">IF(BB64&gt;0,0,SUMPRODUCT((BB$25:BB$124=0)*($B$25:$B$124&gt;=$B64)*($B$25:$B$124&lt;=$B64+ANALYSIS!$G$5)*($C$25:$C$124&gt;=$C64)*($C$25:$C$124&lt;=$C64+ANALYSIS!$G$6)))</f>
        <v>6</v>
      </c>
      <c r="W64" cm="1">
        <f t="array" ref="W64">IF(BC64&gt;0,0,SUMPRODUCT((BC$25:BC$124=0)*($B$25:$B$124&gt;=$B64)*($B$25:$B$124&lt;=$B64+ANALYSIS!$G$5)*($C$25:$C$124&gt;=$C64)*($C$25:$C$124&lt;=$C64+ANALYSIS!$G$6)))</f>
        <v>6</v>
      </c>
      <c r="X64" cm="1">
        <f t="array" ref="X64">IF(BD64&gt;0,0,SUMPRODUCT((BD$25:BD$124=0)*($B$25:$B$124&gt;=$B64)*($B$25:$B$124&lt;=$B64+ANALYSIS!$G$5)*($C$25:$C$124&gt;=$C64)*($C$25:$C$124&lt;=$C64+ANALYSIS!$G$6)))</f>
        <v>0</v>
      </c>
      <c r="Y64" cm="1">
        <f t="array" ref="Y64">IF(BE64&gt;0,0,SUMPRODUCT((BE$25:BE$124=0)*($B$25:$B$124&gt;=$B64)*($B$25:$B$124&lt;=$B64+ANALYSIS!$G$5)*($C$25:$C$124&gt;=$C64)*($C$25:$C$124&lt;=$C64+ANALYSIS!$G$6)))</f>
        <v>0</v>
      </c>
      <c r="Z64" cm="1">
        <f t="array" ref="Z64">IF(BF64&gt;0,0,SUMPRODUCT((BF$25:BF$124=0)*($B$25:$B$124&gt;=$B64)*($B$25:$B$124&lt;=$B64+ANALYSIS!$G$5)*($C$25:$C$124&gt;=$C64)*($C$25:$C$124&lt;=$C64+ANALYSIS!$G$6)))</f>
        <v>0</v>
      </c>
      <c r="AA64" cm="1">
        <f t="array" ref="AA64">IF(BG64&gt;0,0,SUMPRODUCT((BG$25:BG$124=0)*($B$25:$B$124&gt;=$B64)*($B$25:$B$124&lt;=$B64+ANALYSIS!$G$5)*($C$25:$C$124&gt;=$C64)*($C$25:$C$124&lt;=$C64+ANALYSIS!$G$6)))</f>
        <v>0</v>
      </c>
      <c r="AB64" cm="1">
        <f t="array" ref="AB64">IF(BH64&gt;0,0,SUMPRODUCT((BH$25:BH$124=0)*($B$25:$B$124&gt;=$B64)*($B$25:$B$124&lt;=$B64+ANALYSIS!$G$5)*($C$25:$C$124&gt;=$C64)*($C$25:$C$124&lt;=$C64+ANALYSIS!$G$6)))</f>
        <v>0</v>
      </c>
      <c r="AC64" cm="1">
        <f t="array" ref="AC64">IF(BI64&gt;0,0,SUMPRODUCT((BI$25:BI$124=0)*($B$25:$B$124&gt;=$B64)*($B$25:$B$124&lt;=$B64+ANALYSIS!$G$5)*($C$25:$C$124&gt;=$C64)*($C$25:$C$124&lt;=$C64+ANALYSIS!$G$6)))</f>
        <v>0</v>
      </c>
      <c r="AD64" cm="1">
        <f t="array" ref="AD64">IF(BJ64&gt;0,0,SUMPRODUCT((BJ$25:BJ$124=0)*($B$25:$B$124&gt;=$B64)*($B$25:$B$124&lt;=$B64+ANALYSIS!$G$5)*($C$25:$C$124&gt;=$C64)*($C$25:$C$124&lt;=$C64+ANALYSIS!$G$6)))</f>
        <v>0</v>
      </c>
      <c r="AE64" cm="1">
        <f t="array" ref="AE64">IF(BK64&gt;0,0,SUMPRODUCT((BK$25:BK$124=0)*($B$25:$B$124&gt;=$B64)*($B$25:$B$124&lt;=$B64+ANALYSIS!$G$5)*($C$25:$C$124&gt;=$C64)*($C$25:$C$124&lt;=$C64+ANALYSIS!$G$6)))</f>
        <v>0</v>
      </c>
      <c r="AF64" cm="1">
        <f t="array" ref="AF64">IF(BL64&gt;0,0,SUMPRODUCT((BL$25:BL$124=0)*($B$25:$B$124&gt;=$B64)*($B$25:$B$124&lt;=$B64+ANALYSIS!$G$5)*($C$25:$C$124&gt;=$C64)*($C$25:$C$124&lt;=$C64+ANALYSIS!$G$6)))</f>
        <v>0</v>
      </c>
      <c r="AH64">
        <f>IF(AND(AX64=0,$B64&gt;=R$22,$B64&lt;=R$22+ANALYSIS!$G$5,$C64&gt;=R$23,$C64&lt;=R$23+ANALYSIS!$G$6),1,0)</f>
        <v>0</v>
      </c>
      <c r="AI64">
        <f>IF(AND(AY64=0,$B64&gt;=S$22,$B64&lt;=S$22+ANALYSIS!$G$5,$C64&gt;=S$23,$C64&lt;=S$23+ANALYSIS!$G$6),1,0)</f>
        <v>0</v>
      </c>
      <c r="AJ64">
        <f>IF(AND(AZ64=0,$B64&gt;=T$22,$B64&lt;=T$22+ANALYSIS!$G$5,$C64&gt;=T$23,$C64&lt;=T$23+ANALYSIS!$G$6),1,0)</f>
        <v>0</v>
      </c>
      <c r="AK64">
        <f>IF(AND(BA64=0,$B64&gt;=U$22,$B64&lt;=U$22+ANALYSIS!$G$5,$C64&gt;=U$23,$C64&lt;=U$23+ANALYSIS!$G$6),1,0)</f>
        <v>0</v>
      </c>
      <c r="AL64">
        <f>IF(AND(BB64=0,$B64&gt;=V$22,$B64&lt;=V$22+ANALYSIS!$G$5,$C64&gt;=V$23,$C64&lt;=V$23+ANALYSIS!$G$6),1,0)</f>
        <v>0</v>
      </c>
      <c r="AM64">
        <f>IF(AND(BC64=0,$B64&gt;=W$22,$B64&lt;=W$22+ANALYSIS!$G$5,$C64&gt;=W$23,$C64&lt;=W$23+ANALYSIS!$G$6),1,0)</f>
        <v>1</v>
      </c>
      <c r="AN64">
        <f>IF(AND(BD64=0,$B64&gt;=X$22,$B64&lt;=X$22+ANALYSIS!$G$5,$C64&gt;=X$23,$C64&lt;=X$23+ANALYSIS!$G$6),1,0)</f>
        <v>0</v>
      </c>
      <c r="AO64">
        <f>IF(AND(BE64=0,$B64&gt;=Y$22,$B64&lt;=Y$22+ANALYSIS!$G$5,$C64&gt;=Y$23,$C64&lt;=Y$23+ANALYSIS!$G$6),1,0)</f>
        <v>0</v>
      </c>
      <c r="AP64">
        <f>IF(AND(BF64=0,$B64&gt;=Z$22,$B64&lt;=Z$22+ANALYSIS!$G$5,$C64&gt;=Z$23,$C64&lt;=Z$23+ANALYSIS!$G$6),1,0)</f>
        <v>0</v>
      </c>
      <c r="AQ64">
        <f>IF(AND(BG64=0,$B64&gt;=AA$22,$B64&lt;=AA$22+ANALYSIS!$G$5,$C64&gt;=AA$23,$C64&lt;=AA$23+ANALYSIS!$G$6),1,0)</f>
        <v>0</v>
      </c>
      <c r="AR64">
        <f>IF(AND(BH64=0,$B64&gt;=AB$22,$B64&lt;=AB$22+ANALYSIS!$G$5,$C64&gt;=AB$23,$C64&lt;=AB$23+ANALYSIS!$G$6),1,0)</f>
        <v>0</v>
      </c>
      <c r="AS64">
        <f>IF(AND(BI64=0,$B64&gt;=AC$22,$B64&lt;=AC$22+ANALYSIS!$G$5,$C64&gt;=AC$23,$C64&lt;=AC$23+ANALYSIS!$G$6),1,0)</f>
        <v>0</v>
      </c>
      <c r="AT64">
        <f>IF(AND(BJ64=0,$B64&gt;=AD$22,$B64&lt;=AD$22+ANALYSIS!$G$5,$C64&gt;=AD$23,$C64&lt;=AD$23+ANALYSIS!$G$6),1,0)</f>
        <v>0</v>
      </c>
      <c r="AU64">
        <f>IF(AND(BK64=0,$B64&gt;=AE$22,$B64&lt;=AE$22+ANALYSIS!$G$5,$C64&gt;=AE$23,$C64&lt;=AE$23+ANALYSIS!$G$6),1,0)</f>
        <v>0</v>
      </c>
      <c r="AV64">
        <f>IF(AND(BL64=0,$B64&gt;=AF$22,$B64&lt;=AF$22+ANALYSIS!$G$5,$C64&gt;=AF$23,$C64&lt;=AF$23+ANALYSIS!$G$6),1,0)</f>
        <v>0</v>
      </c>
      <c r="AX64">
        <v>0</v>
      </c>
      <c r="AY64">
        <f t="shared" si="13"/>
        <v>0</v>
      </c>
      <c r="AZ64">
        <f t="shared" si="14"/>
        <v>0</v>
      </c>
      <c r="BA64">
        <f t="shared" si="15"/>
        <v>0</v>
      </c>
      <c r="BB64">
        <f t="shared" si="16"/>
        <v>0</v>
      </c>
      <c r="BC64">
        <f t="shared" si="17"/>
        <v>0</v>
      </c>
      <c r="BD64">
        <f t="shared" si="18"/>
        <v>1</v>
      </c>
      <c r="BE64">
        <f t="shared" si="19"/>
        <v>1</v>
      </c>
      <c r="BF64">
        <f t="shared" si="20"/>
        <v>1</v>
      </c>
      <c r="BG64">
        <f t="shared" si="21"/>
        <v>1</v>
      </c>
      <c r="BH64">
        <f t="shared" si="22"/>
        <v>1</v>
      </c>
      <c r="BI64">
        <f t="shared" si="23"/>
        <v>1</v>
      </c>
      <c r="BJ64">
        <f t="shared" si="24"/>
        <v>1</v>
      </c>
      <c r="BK64">
        <f t="shared" si="25"/>
        <v>1</v>
      </c>
      <c r="BL64">
        <f t="shared" si="26"/>
        <v>1</v>
      </c>
      <c r="BM64">
        <f t="shared" si="27"/>
        <v>1</v>
      </c>
    </row>
    <row r="65" spans="1:65" x14ac:dyDescent="0.25">
      <c r="A65" s="41" t="str">
        <f>ANALYSIS!B71</f>
        <v>19-41</v>
      </c>
      <c r="B65" s="41">
        <f>ANALYSIS!E71</f>
        <v>53</v>
      </c>
      <c r="C65" s="41">
        <f>ANALYSIS!G71</f>
        <v>22.5</v>
      </c>
      <c r="D65" s="41">
        <f t="shared" si="12"/>
        <v>5</v>
      </c>
      <c r="R65" cm="1">
        <f t="array" ref="R65">IF(AX65&gt;0,0,SUMPRODUCT((AX$25:AX$124=0)*($B$25:$B$124&gt;=$B65)*($B$25:$B$124&lt;=$B65+ANALYSIS!$G$5)*($C$25:$C$124&gt;=$C65)*($C$25:$C$124&lt;=$C65+ANALYSIS!$G$6)))</f>
        <v>6</v>
      </c>
      <c r="S65" cm="1">
        <f t="array" ref="S65">IF(AY65&gt;0,0,SUMPRODUCT((AY$25:AY$124=0)*($B$25:$B$124&gt;=$B65)*($B$25:$B$124&lt;=$B65+ANALYSIS!$G$5)*($C$25:$C$124&gt;=$C65)*($C$25:$C$124&lt;=$C65+ANALYSIS!$G$6)))</f>
        <v>6</v>
      </c>
      <c r="T65" cm="1">
        <f t="array" ref="T65">IF(AZ65&gt;0,0,SUMPRODUCT((AZ$25:AZ$124=0)*($B$25:$B$124&gt;=$B65)*($B$25:$B$124&lt;=$B65+ANALYSIS!$G$5)*($C$25:$C$124&gt;=$C65)*($C$25:$C$124&lt;=$C65+ANALYSIS!$G$6)))</f>
        <v>6</v>
      </c>
      <c r="U65" cm="1">
        <f t="array" ref="U65">IF(BA65&gt;0,0,SUMPRODUCT((BA$25:BA$124=0)*($B$25:$B$124&gt;=$B65)*($B$25:$B$124&lt;=$B65+ANALYSIS!$G$5)*($C$25:$C$124&gt;=$C65)*($C$25:$C$124&lt;=$C65+ANALYSIS!$G$6)))</f>
        <v>6</v>
      </c>
      <c r="V65" cm="1">
        <f t="array" ref="V65">IF(BB65&gt;0,0,SUMPRODUCT((BB$25:BB$124=0)*($B$25:$B$124&gt;=$B65)*($B$25:$B$124&lt;=$B65+ANALYSIS!$G$5)*($C$25:$C$124&gt;=$C65)*($C$25:$C$124&lt;=$C65+ANALYSIS!$G$6)))</f>
        <v>6</v>
      </c>
      <c r="W65" cm="1">
        <f t="array" ref="W65">IF(BC65&gt;0,0,SUMPRODUCT((BC$25:BC$124=0)*($B$25:$B$124&gt;=$B65)*($B$25:$B$124&lt;=$B65+ANALYSIS!$G$5)*($C$25:$C$124&gt;=$C65)*($C$25:$C$124&lt;=$C65+ANALYSIS!$G$6)))</f>
        <v>0</v>
      </c>
      <c r="X65" cm="1">
        <f t="array" ref="X65">IF(BD65&gt;0,0,SUMPRODUCT((BD$25:BD$124=0)*($B$25:$B$124&gt;=$B65)*($B$25:$B$124&lt;=$B65+ANALYSIS!$G$5)*($C$25:$C$124&gt;=$C65)*($C$25:$C$124&lt;=$C65+ANALYSIS!$G$6)))</f>
        <v>0</v>
      </c>
      <c r="Y65" cm="1">
        <f t="array" ref="Y65">IF(BE65&gt;0,0,SUMPRODUCT((BE$25:BE$124=0)*($B$25:$B$124&gt;=$B65)*($B$25:$B$124&lt;=$B65+ANALYSIS!$G$5)*($C$25:$C$124&gt;=$C65)*($C$25:$C$124&lt;=$C65+ANALYSIS!$G$6)))</f>
        <v>0</v>
      </c>
      <c r="Z65" cm="1">
        <f t="array" ref="Z65">IF(BF65&gt;0,0,SUMPRODUCT((BF$25:BF$124=0)*($B$25:$B$124&gt;=$B65)*($B$25:$B$124&lt;=$B65+ANALYSIS!$G$5)*($C$25:$C$124&gt;=$C65)*($C$25:$C$124&lt;=$C65+ANALYSIS!$G$6)))</f>
        <v>0</v>
      </c>
      <c r="AA65" cm="1">
        <f t="array" ref="AA65">IF(BG65&gt;0,0,SUMPRODUCT((BG$25:BG$124=0)*($B$25:$B$124&gt;=$B65)*($B$25:$B$124&lt;=$B65+ANALYSIS!$G$5)*($C$25:$C$124&gt;=$C65)*($C$25:$C$124&lt;=$C65+ANALYSIS!$G$6)))</f>
        <v>0</v>
      </c>
      <c r="AB65" cm="1">
        <f t="array" ref="AB65">IF(BH65&gt;0,0,SUMPRODUCT((BH$25:BH$124=0)*($B$25:$B$124&gt;=$B65)*($B$25:$B$124&lt;=$B65+ANALYSIS!$G$5)*($C$25:$C$124&gt;=$C65)*($C$25:$C$124&lt;=$C65+ANALYSIS!$G$6)))</f>
        <v>0</v>
      </c>
      <c r="AC65" cm="1">
        <f t="array" ref="AC65">IF(BI65&gt;0,0,SUMPRODUCT((BI$25:BI$124=0)*($B$25:$B$124&gt;=$B65)*($B$25:$B$124&lt;=$B65+ANALYSIS!$G$5)*($C$25:$C$124&gt;=$C65)*($C$25:$C$124&lt;=$C65+ANALYSIS!$G$6)))</f>
        <v>0</v>
      </c>
      <c r="AD65" cm="1">
        <f t="array" ref="AD65">IF(BJ65&gt;0,0,SUMPRODUCT((BJ$25:BJ$124=0)*($B$25:$B$124&gt;=$B65)*($B$25:$B$124&lt;=$B65+ANALYSIS!$G$5)*($C$25:$C$124&gt;=$C65)*($C$25:$C$124&lt;=$C65+ANALYSIS!$G$6)))</f>
        <v>0</v>
      </c>
      <c r="AE65" cm="1">
        <f t="array" ref="AE65">IF(BK65&gt;0,0,SUMPRODUCT((BK$25:BK$124=0)*($B$25:$B$124&gt;=$B65)*($B$25:$B$124&lt;=$B65+ANALYSIS!$G$5)*($C$25:$C$124&gt;=$C65)*($C$25:$C$124&lt;=$C65+ANALYSIS!$G$6)))</f>
        <v>0</v>
      </c>
      <c r="AF65" cm="1">
        <f t="array" ref="AF65">IF(BL65&gt;0,0,SUMPRODUCT((BL$25:BL$124=0)*($B$25:$B$124&gt;=$B65)*($B$25:$B$124&lt;=$B65+ANALYSIS!$G$5)*($C$25:$C$124&gt;=$C65)*($C$25:$C$124&lt;=$C65+ANALYSIS!$G$6)))</f>
        <v>0</v>
      </c>
      <c r="AH65">
        <f>IF(AND(AX65=0,$B65&gt;=R$22,$B65&lt;=R$22+ANALYSIS!$G$5,$C65&gt;=R$23,$C65&lt;=R$23+ANALYSIS!$G$6),1,0)</f>
        <v>0</v>
      </c>
      <c r="AI65">
        <f>IF(AND(AY65=0,$B65&gt;=S$22,$B65&lt;=S$22+ANALYSIS!$G$5,$C65&gt;=S$23,$C65&lt;=S$23+ANALYSIS!$G$6),1,0)</f>
        <v>0</v>
      </c>
      <c r="AJ65">
        <f>IF(AND(AZ65=0,$B65&gt;=T$22,$B65&lt;=T$22+ANALYSIS!$G$5,$C65&gt;=T$23,$C65&lt;=T$23+ANALYSIS!$G$6),1,0)</f>
        <v>0</v>
      </c>
      <c r="AK65">
        <f>IF(AND(BA65=0,$B65&gt;=U$22,$B65&lt;=U$22+ANALYSIS!$G$5,$C65&gt;=U$23,$C65&lt;=U$23+ANALYSIS!$G$6),1,0)</f>
        <v>0</v>
      </c>
      <c r="AL65">
        <f>IF(AND(BB65=0,$B65&gt;=V$22,$B65&lt;=V$22+ANALYSIS!$G$5,$C65&gt;=V$23,$C65&lt;=V$23+ANALYSIS!$G$6),1,0)</f>
        <v>1</v>
      </c>
      <c r="AM65">
        <f>IF(AND(BC65=0,$B65&gt;=W$22,$B65&lt;=W$22+ANALYSIS!$G$5,$C65&gt;=W$23,$C65&lt;=W$23+ANALYSIS!$G$6),1,0)</f>
        <v>0</v>
      </c>
      <c r="AN65">
        <f>IF(AND(BD65=0,$B65&gt;=X$22,$B65&lt;=X$22+ANALYSIS!$G$5,$C65&gt;=X$23,$C65&lt;=X$23+ANALYSIS!$G$6),1,0)</f>
        <v>0</v>
      </c>
      <c r="AO65">
        <f>IF(AND(BE65=0,$B65&gt;=Y$22,$B65&lt;=Y$22+ANALYSIS!$G$5,$C65&gt;=Y$23,$C65&lt;=Y$23+ANALYSIS!$G$6),1,0)</f>
        <v>0</v>
      </c>
      <c r="AP65">
        <f>IF(AND(BF65=0,$B65&gt;=Z$22,$B65&lt;=Z$22+ANALYSIS!$G$5,$C65&gt;=Z$23,$C65&lt;=Z$23+ANALYSIS!$G$6),1,0)</f>
        <v>0</v>
      </c>
      <c r="AQ65">
        <f>IF(AND(BG65=0,$B65&gt;=AA$22,$B65&lt;=AA$22+ANALYSIS!$G$5,$C65&gt;=AA$23,$C65&lt;=AA$23+ANALYSIS!$G$6),1,0)</f>
        <v>0</v>
      </c>
      <c r="AR65">
        <f>IF(AND(BH65=0,$B65&gt;=AB$22,$B65&lt;=AB$22+ANALYSIS!$G$5,$C65&gt;=AB$23,$C65&lt;=AB$23+ANALYSIS!$G$6),1,0)</f>
        <v>0</v>
      </c>
      <c r="AS65">
        <f>IF(AND(BI65=0,$B65&gt;=AC$22,$B65&lt;=AC$22+ANALYSIS!$G$5,$C65&gt;=AC$23,$C65&lt;=AC$23+ANALYSIS!$G$6),1,0)</f>
        <v>0</v>
      </c>
      <c r="AT65">
        <f>IF(AND(BJ65=0,$B65&gt;=AD$22,$B65&lt;=AD$22+ANALYSIS!$G$5,$C65&gt;=AD$23,$C65&lt;=AD$23+ANALYSIS!$G$6),1,0)</f>
        <v>0</v>
      </c>
      <c r="AU65">
        <f>IF(AND(BK65=0,$B65&gt;=AE$22,$B65&lt;=AE$22+ANALYSIS!$G$5,$C65&gt;=AE$23,$C65&lt;=AE$23+ANALYSIS!$G$6),1,0)</f>
        <v>0</v>
      </c>
      <c r="AV65">
        <f>IF(AND(BL65=0,$B65&gt;=AF$22,$B65&lt;=AF$22+ANALYSIS!$G$5,$C65&gt;=AF$23,$C65&lt;=AF$23+ANALYSIS!$G$6),1,0)</f>
        <v>0</v>
      </c>
      <c r="AX65">
        <v>0</v>
      </c>
      <c r="AY65">
        <f t="shared" si="13"/>
        <v>0</v>
      </c>
      <c r="AZ65">
        <f t="shared" si="14"/>
        <v>0</v>
      </c>
      <c r="BA65">
        <f t="shared" si="15"/>
        <v>0</v>
      </c>
      <c r="BB65">
        <f t="shared" si="16"/>
        <v>0</v>
      </c>
      <c r="BC65">
        <f t="shared" si="17"/>
        <v>1</v>
      </c>
      <c r="BD65">
        <f t="shared" si="18"/>
        <v>1</v>
      </c>
      <c r="BE65">
        <f t="shared" si="19"/>
        <v>1</v>
      </c>
      <c r="BF65">
        <f t="shared" si="20"/>
        <v>1</v>
      </c>
      <c r="BG65">
        <f t="shared" si="21"/>
        <v>1</v>
      </c>
      <c r="BH65">
        <f t="shared" si="22"/>
        <v>1</v>
      </c>
      <c r="BI65">
        <f t="shared" si="23"/>
        <v>1</v>
      </c>
      <c r="BJ65">
        <f t="shared" si="24"/>
        <v>1</v>
      </c>
      <c r="BK65">
        <f t="shared" si="25"/>
        <v>1</v>
      </c>
      <c r="BL65">
        <f t="shared" si="26"/>
        <v>1</v>
      </c>
      <c r="BM65">
        <f t="shared" si="27"/>
        <v>1</v>
      </c>
    </row>
    <row r="66" spans="1:65" x14ac:dyDescent="0.25">
      <c r="A66" s="41" t="str">
        <f>ANALYSIS!B72</f>
        <v>19-42</v>
      </c>
      <c r="B66" s="41">
        <f>ANALYSIS!E72</f>
        <v>55.5</v>
      </c>
      <c r="C66" s="41">
        <f>ANALYSIS!G72</f>
        <v>25.88</v>
      </c>
      <c r="D66" s="41" t="str">
        <f t="shared" si="12"/>
        <v/>
      </c>
      <c r="R66" cm="1">
        <f t="array" ref="R66">IF(AX66&gt;0,0,SUMPRODUCT((AX$25:AX$124=0)*($B$25:$B$124&gt;=$B66)*($B$25:$B$124&lt;=$B66+ANALYSIS!$G$5)*($C$25:$C$124&gt;=$C66)*($C$25:$C$124&lt;=$C66+ANALYSIS!$G$6)))</f>
        <v>2</v>
      </c>
      <c r="S66" cm="1">
        <f t="array" ref="S66">IF(AY66&gt;0,0,SUMPRODUCT((AY$25:AY$124=0)*($B$25:$B$124&gt;=$B66)*($B$25:$B$124&lt;=$B66+ANALYSIS!$G$5)*($C$25:$C$124&gt;=$C66)*($C$25:$C$124&lt;=$C66+ANALYSIS!$G$6)))</f>
        <v>2</v>
      </c>
      <c r="T66" cm="1">
        <f t="array" ref="T66">IF(AZ66&gt;0,0,SUMPRODUCT((AZ$25:AZ$124=0)*($B$25:$B$124&gt;=$B66)*($B$25:$B$124&lt;=$B66+ANALYSIS!$G$5)*($C$25:$C$124&gt;=$C66)*($C$25:$C$124&lt;=$C66+ANALYSIS!$G$6)))</f>
        <v>2</v>
      </c>
      <c r="U66" cm="1">
        <f t="array" ref="U66">IF(BA66&gt;0,0,SUMPRODUCT((BA$25:BA$124=0)*($B$25:$B$124&gt;=$B66)*($B$25:$B$124&lt;=$B66+ANALYSIS!$G$5)*($C$25:$C$124&gt;=$C66)*($C$25:$C$124&lt;=$C66+ANALYSIS!$G$6)))</f>
        <v>2</v>
      </c>
      <c r="V66" cm="1">
        <f t="array" ref="V66">IF(BB66&gt;0,0,SUMPRODUCT((BB$25:BB$124=0)*($B$25:$B$124&gt;=$B66)*($B$25:$B$124&lt;=$B66+ANALYSIS!$G$5)*($C$25:$C$124&gt;=$C66)*($C$25:$C$124&lt;=$C66+ANALYSIS!$G$6)))</f>
        <v>2</v>
      </c>
      <c r="W66" cm="1">
        <f t="array" ref="W66">IF(BC66&gt;0,0,SUMPRODUCT((BC$25:BC$124=0)*($B$25:$B$124&gt;=$B66)*($B$25:$B$124&lt;=$B66+ANALYSIS!$G$5)*($C$25:$C$124&gt;=$C66)*($C$25:$C$124&lt;=$C66+ANALYSIS!$G$6)))</f>
        <v>2</v>
      </c>
      <c r="X66" cm="1">
        <f t="array" ref="X66">IF(BD66&gt;0,0,SUMPRODUCT((BD$25:BD$124=0)*($B$25:$B$124&gt;=$B66)*($B$25:$B$124&lt;=$B66+ANALYSIS!$G$5)*($C$25:$C$124&gt;=$C66)*($C$25:$C$124&lt;=$C66+ANALYSIS!$G$6)))</f>
        <v>2</v>
      </c>
      <c r="Y66" cm="1">
        <f t="array" ref="Y66">IF(BE66&gt;0,0,SUMPRODUCT((BE$25:BE$124=0)*($B$25:$B$124&gt;=$B66)*($B$25:$B$124&lt;=$B66+ANALYSIS!$G$5)*($C$25:$C$124&gt;=$C66)*($C$25:$C$124&lt;=$C66+ANALYSIS!$G$6)))</f>
        <v>2</v>
      </c>
      <c r="Z66" cm="1">
        <f t="array" ref="Z66">IF(BF66&gt;0,0,SUMPRODUCT((BF$25:BF$124=0)*($B$25:$B$124&gt;=$B66)*($B$25:$B$124&lt;=$B66+ANALYSIS!$G$5)*($C$25:$C$124&gt;=$C66)*($C$25:$C$124&lt;=$C66+ANALYSIS!$G$6)))</f>
        <v>2</v>
      </c>
      <c r="AA66" cm="1">
        <f t="array" ref="AA66">IF(BG66&gt;0,0,SUMPRODUCT((BG$25:BG$124=0)*($B$25:$B$124&gt;=$B66)*($B$25:$B$124&lt;=$B66+ANALYSIS!$G$5)*($C$25:$C$124&gt;=$C66)*($C$25:$C$124&lt;=$C66+ANALYSIS!$G$6)))</f>
        <v>2</v>
      </c>
      <c r="AB66" cm="1">
        <f t="array" ref="AB66">IF(BH66&gt;0,0,SUMPRODUCT((BH$25:BH$124=0)*($B$25:$B$124&gt;=$B66)*($B$25:$B$124&lt;=$B66+ANALYSIS!$G$5)*($C$25:$C$124&gt;=$C66)*($C$25:$C$124&lt;=$C66+ANALYSIS!$G$6)))</f>
        <v>2</v>
      </c>
      <c r="AC66" cm="1">
        <f t="array" ref="AC66">IF(BI66&gt;0,0,SUMPRODUCT((BI$25:BI$124=0)*($B$25:$B$124&gt;=$B66)*($B$25:$B$124&lt;=$B66+ANALYSIS!$G$5)*($C$25:$C$124&gt;=$C66)*($C$25:$C$124&lt;=$C66+ANALYSIS!$G$6)))</f>
        <v>1</v>
      </c>
      <c r="AD66" cm="1">
        <f t="array" ref="AD66">IF(BJ66&gt;0,0,SUMPRODUCT((BJ$25:BJ$124=0)*($B$25:$B$124&gt;=$B66)*($B$25:$B$124&lt;=$B66+ANALYSIS!$G$5)*($C$25:$C$124&gt;=$C66)*($C$25:$C$124&lt;=$C66+ANALYSIS!$G$6)))</f>
        <v>1</v>
      </c>
      <c r="AE66" cm="1">
        <f t="array" ref="AE66">IF(BK66&gt;0,0,SUMPRODUCT((BK$25:BK$124=0)*($B$25:$B$124&gt;=$B66)*($B$25:$B$124&lt;=$B66+ANALYSIS!$G$5)*($C$25:$C$124&gt;=$C66)*($C$25:$C$124&lt;=$C66+ANALYSIS!$G$6)))</f>
        <v>1</v>
      </c>
      <c r="AF66" cm="1">
        <f t="array" ref="AF66">IF(BL66&gt;0,0,SUMPRODUCT((BL$25:BL$124=0)*($B$25:$B$124&gt;=$B66)*($B$25:$B$124&lt;=$B66+ANALYSIS!$G$5)*($C$25:$C$124&gt;=$C66)*($C$25:$C$124&lt;=$C66+ANALYSIS!$G$6)))</f>
        <v>1</v>
      </c>
      <c r="AH66">
        <f>IF(AND(AX66=0,$B66&gt;=R$22,$B66&lt;=R$22+ANALYSIS!$G$5,$C66&gt;=R$23,$C66&lt;=R$23+ANALYSIS!$G$6),1,0)</f>
        <v>0</v>
      </c>
      <c r="AI66">
        <f>IF(AND(AY66=0,$B66&gt;=S$22,$B66&lt;=S$22+ANALYSIS!$G$5,$C66&gt;=S$23,$C66&lt;=S$23+ANALYSIS!$G$6),1,0)</f>
        <v>0</v>
      </c>
      <c r="AJ66">
        <f>IF(AND(AZ66=0,$B66&gt;=T$22,$B66&lt;=T$22+ANALYSIS!$G$5,$C66&gt;=T$23,$C66&lt;=T$23+ANALYSIS!$G$6),1,0)</f>
        <v>0</v>
      </c>
      <c r="AK66">
        <f>IF(AND(BA66=0,$B66&gt;=U$22,$B66&lt;=U$22+ANALYSIS!$G$5,$C66&gt;=U$23,$C66&lt;=U$23+ANALYSIS!$G$6),1,0)</f>
        <v>0</v>
      </c>
      <c r="AL66">
        <f>IF(AND(BB66=0,$B66&gt;=V$22,$B66&lt;=V$22+ANALYSIS!$G$5,$C66&gt;=V$23,$C66&lt;=V$23+ANALYSIS!$G$6),1,0)</f>
        <v>0</v>
      </c>
      <c r="AM66">
        <f>IF(AND(BC66=0,$B66&gt;=W$22,$B66&lt;=W$22+ANALYSIS!$G$5,$C66&gt;=W$23,$C66&lt;=W$23+ANALYSIS!$G$6),1,0)</f>
        <v>0</v>
      </c>
      <c r="AN66">
        <f>IF(AND(BD66=0,$B66&gt;=X$22,$B66&lt;=X$22+ANALYSIS!$G$5,$C66&gt;=X$23,$C66&lt;=X$23+ANALYSIS!$G$6),1,0)</f>
        <v>0</v>
      </c>
      <c r="AO66">
        <f>IF(AND(BE66=0,$B66&gt;=Y$22,$B66&lt;=Y$22+ANALYSIS!$G$5,$C66&gt;=Y$23,$C66&lt;=Y$23+ANALYSIS!$G$6),1,0)</f>
        <v>0</v>
      </c>
      <c r="AP66">
        <f>IF(AND(BF66=0,$B66&gt;=Z$22,$B66&lt;=Z$22+ANALYSIS!$G$5,$C66&gt;=Z$23,$C66&lt;=Z$23+ANALYSIS!$G$6),1,0)</f>
        <v>0</v>
      </c>
      <c r="AQ66">
        <f>IF(AND(BG66=0,$B66&gt;=AA$22,$B66&lt;=AA$22+ANALYSIS!$G$5,$C66&gt;=AA$23,$C66&lt;=AA$23+ANALYSIS!$G$6),1,0)</f>
        <v>0</v>
      </c>
      <c r="AR66">
        <f>IF(AND(BH66=0,$B66&gt;=AB$22,$B66&lt;=AB$22+ANALYSIS!$G$5,$C66&gt;=AB$23,$C66&lt;=AB$23+ANALYSIS!$G$6),1,0)</f>
        <v>0</v>
      </c>
      <c r="AS66">
        <f>IF(AND(BI66=0,$B66&gt;=AC$22,$B66&lt;=AC$22+ANALYSIS!$G$5,$C66&gt;=AC$23,$C66&lt;=AC$23+ANALYSIS!$G$6),1,0)</f>
        <v>0</v>
      </c>
      <c r="AT66">
        <f>IF(AND(BJ66=0,$B66&gt;=AD$22,$B66&lt;=AD$22+ANALYSIS!$G$5,$C66&gt;=AD$23,$C66&lt;=AD$23+ANALYSIS!$G$6),1,0)</f>
        <v>0</v>
      </c>
      <c r="AU66">
        <f>IF(AND(BK66=0,$B66&gt;=AE$22,$B66&lt;=AE$22+ANALYSIS!$G$5,$C66&gt;=AE$23,$C66&lt;=AE$23+ANALYSIS!$G$6),1,0)</f>
        <v>0</v>
      </c>
      <c r="AV66">
        <f>IF(AND(BL66=0,$B66&gt;=AF$22,$B66&lt;=AF$22+ANALYSIS!$G$5,$C66&gt;=AF$23,$C66&lt;=AF$23+ANALYSIS!$G$6),1,0)</f>
        <v>0</v>
      </c>
      <c r="AX66">
        <v>0</v>
      </c>
      <c r="AY66">
        <f t="shared" si="13"/>
        <v>0</v>
      </c>
      <c r="AZ66">
        <f t="shared" si="14"/>
        <v>0</v>
      </c>
      <c r="BA66">
        <f t="shared" si="15"/>
        <v>0</v>
      </c>
      <c r="BB66">
        <f t="shared" si="16"/>
        <v>0</v>
      </c>
      <c r="BC66">
        <f t="shared" si="17"/>
        <v>0</v>
      </c>
      <c r="BD66">
        <f t="shared" si="18"/>
        <v>0</v>
      </c>
      <c r="BE66">
        <f t="shared" si="19"/>
        <v>0</v>
      </c>
      <c r="BF66">
        <f t="shared" si="20"/>
        <v>0</v>
      </c>
      <c r="BG66">
        <f t="shared" si="21"/>
        <v>0</v>
      </c>
      <c r="BH66">
        <f t="shared" si="22"/>
        <v>0</v>
      </c>
      <c r="BI66">
        <f t="shared" si="23"/>
        <v>0</v>
      </c>
      <c r="BJ66">
        <f t="shared" si="24"/>
        <v>0</v>
      </c>
      <c r="BK66">
        <f t="shared" si="25"/>
        <v>0</v>
      </c>
      <c r="BL66">
        <f t="shared" si="26"/>
        <v>0</v>
      </c>
      <c r="BM66">
        <f t="shared" si="27"/>
        <v>0</v>
      </c>
    </row>
    <row r="67" spans="1:65" x14ac:dyDescent="0.25">
      <c r="A67" s="41" t="str">
        <f>ANALYSIS!B73</f>
        <v>19-43</v>
      </c>
      <c r="B67" s="41">
        <f>ANALYSIS!E73</f>
        <v>54.5</v>
      </c>
      <c r="C67" s="41">
        <f>ANALYSIS!G73</f>
        <v>23.38</v>
      </c>
      <c r="D67" s="41">
        <f t="shared" si="12"/>
        <v>2</v>
      </c>
      <c r="R67" cm="1">
        <f t="array" ref="R67">IF(AX67&gt;0,0,SUMPRODUCT((AX$25:AX$124=0)*($B$25:$B$124&gt;=$B67)*($B$25:$B$124&lt;=$B67+ANALYSIS!$G$5)*($C$25:$C$124&gt;=$C67)*($C$25:$C$124&lt;=$C67+ANALYSIS!$G$6)))</f>
        <v>12</v>
      </c>
      <c r="S67" cm="1">
        <f t="array" ref="S67">IF(AY67&gt;0,0,SUMPRODUCT((AY$25:AY$124=0)*($B$25:$B$124&gt;=$B67)*($B$25:$B$124&lt;=$B67+ANALYSIS!$G$5)*($C$25:$C$124&gt;=$C67)*($C$25:$C$124&lt;=$C67+ANALYSIS!$G$6)))</f>
        <v>9</v>
      </c>
      <c r="T67" cm="1">
        <f t="array" ref="T67">IF(AZ67&gt;0,0,SUMPRODUCT((AZ$25:AZ$124=0)*($B$25:$B$124&gt;=$B67)*($B$25:$B$124&lt;=$B67+ANALYSIS!$G$5)*($C$25:$C$124&gt;=$C67)*($C$25:$C$124&lt;=$C67+ANALYSIS!$G$6)))</f>
        <v>0</v>
      </c>
      <c r="U67" cm="1">
        <f t="array" ref="U67">IF(BA67&gt;0,0,SUMPRODUCT((BA$25:BA$124=0)*($B$25:$B$124&gt;=$B67)*($B$25:$B$124&lt;=$B67+ANALYSIS!$G$5)*($C$25:$C$124&gt;=$C67)*($C$25:$C$124&lt;=$C67+ANALYSIS!$G$6)))</f>
        <v>0</v>
      </c>
      <c r="V67" cm="1">
        <f t="array" ref="V67">IF(BB67&gt;0,0,SUMPRODUCT((BB$25:BB$124=0)*($B$25:$B$124&gt;=$B67)*($B$25:$B$124&lt;=$B67+ANALYSIS!$G$5)*($C$25:$C$124&gt;=$C67)*($C$25:$C$124&lt;=$C67+ANALYSIS!$G$6)))</f>
        <v>0</v>
      </c>
      <c r="W67" cm="1">
        <f t="array" ref="W67">IF(BC67&gt;0,0,SUMPRODUCT((BC$25:BC$124=0)*($B$25:$B$124&gt;=$B67)*($B$25:$B$124&lt;=$B67+ANALYSIS!$G$5)*($C$25:$C$124&gt;=$C67)*($C$25:$C$124&lt;=$C67+ANALYSIS!$G$6)))</f>
        <v>0</v>
      </c>
      <c r="X67" cm="1">
        <f t="array" ref="X67">IF(BD67&gt;0,0,SUMPRODUCT((BD$25:BD$124=0)*($B$25:$B$124&gt;=$B67)*($B$25:$B$124&lt;=$B67+ANALYSIS!$G$5)*($C$25:$C$124&gt;=$C67)*($C$25:$C$124&lt;=$C67+ANALYSIS!$G$6)))</f>
        <v>0</v>
      </c>
      <c r="Y67" cm="1">
        <f t="array" ref="Y67">IF(BE67&gt;0,0,SUMPRODUCT((BE$25:BE$124=0)*($B$25:$B$124&gt;=$B67)*($B$25:$B$124&lt;=$B67+ANALYSIS!$G$5)*($C$25:$C$124&gt;=$C67)*($C$25:$C$124&lt;=$C67+ANALYSIS!$G$6)))</f>
        <v>0</v>
      </c>
      <c r="Z67" cm="1">
        <f t="array" ref="Z67">IF(BF67&gt;0,0,SUMPRODUCT((BF$25:BF$124=0)*($B$25:$B$124&gt;=$B67)*($B$25:$B$124&lt;=$B67+ANALYSIS!$G$5)*($C$25:$C$124&gt;=$C67)*($C$25:$C$124&lt;=$C67+ANALYSIS!$G$6)))</f>
        <v>0</v>
      </c>
      <c r="AA67" cm="1">
        <f t="array" ref="AA67">IF(BG67&gt;0,0,SUMPRODUCT((BG$25:BG$124=0)*($B$25:$B$124&gt;=$B67)*($B$25:$B$124&lt;=$B67+ANALYSIS!$G$5)*($C$25:$C$124&gt;=$C67)*($C$25:$C$124&lt;=$C67+ANALYSIS!$G$6)))</f>
        <v>0</v>
      </c>
      <c r="AB67" cm="1">
        <f t="array" ref="AB67">IF(BH67&gt;0,0,SUMPRODUCT((BH$25:BH$124=0)*($B$25:$B$124&gt;=$B67)*($B$25:$B$124&lt;=$B67+ANALYSIS!$G$5)*($C$25:$C$124&gt;=$C67)*($C$25:$C$124&lt;=$C67+ANALYSIS!$G$6)))</f>
        <v>0</v>
      </c>
      <c r="AC67" cm="1">
        <f t="array" ref="AC67">IF(BI67&gt;0,0,SUMPRODUCT((BI$25:BI$124=0)*($B$25:$B$124&gt;=$B67)*($B$25:$B$124&lt;=$B67+ANALYSIS!$G$5)*($C$25:$C$124&gt;=$C67)*($C$25:$C$124&lt;=$C67+ANALYSIS!$G$6)))</f>
        <v>0</v>
      </c>
      <c r="AD67" cm="1">
        <f t="array" ref="AD67">IF(BJ67&gt;0,0,SUMPRODUCT((BJ$25:BJ$124=0)*($B$25:$B$124&gt;=$B67)*($B$25:$B$124&lt;=$B67+ANALYSIS!$G$5)*($C$25:$C$124&gt;=$C67)*($C$25:$C$124&lt;=$C67+ANALYSIS!$G$6)))</f>
        <v>0</v>
      </c>
      <c r="AE67" cm="1">
        <f t="array" ref="AE67">IF(BK67&gt;0,0,SUMPRODUCT((BK$25:BK$124=0)*($B$25:$B$124&gt;=$B67)*($B$25:$B$124&lt;=$B67+ANALYSIS!$G$5)*($C$25:$C$124&gt;=$C67)*($C$25:$C$124&lt;=$C67+ANALYSIS!$G$6)))</f>
        <v>0</v>
      </c>
      <c r="AF67" cm="1">
        <f t="array" ref="AF67">IF(BL67&gt;0,0,SUMPRODUCT((BL$25:BL$124=0)*($B$25:$B$124&gt;=$B67)*($B$25:$B$124&lt;=$B67+ANALYSIS!$G$5)*($C$25:$C$124&gt;=$C67)*($C$25:$C$124&lt;=$C67+ANALYSIS!$G$6)))</f>
        <v>0</v>
      </c>
      <c r="AH67">
        <f>IF(AND(AX67=0,$B67&gt;=R$22,$B67&lt;=R$22+ANALYSIS!$G$5,$C67&gt;=R$23,$C67&lt;=R$23+ANALYSIS!$G$6),1,0)</f>
        <v>0</v>
      </c>
      <c r="AI67">
        <f>IF(AND(AY67=0,$B67&gt;=S$22,$B67&lt;=S$22+ANALYSIS!$G$5,$C67&gt;=S$23,$C67&lt;=S$23+ANALYSIS!$G$6),1,0)</f>
        <v>1</v>
      </c>
      <c r="AJ67">
        <f>IF(AND(AZ67=0,$B67&gt;=T$22,$B67&lt;=T$22+ANALYSIS!$G$5,$C67&gt;=T$23,$C67&lt;=T$23+ANALYSIS!$G$6),1,0)</f>
        <v>0</v>
      </c>
      <c r="AK67">
        <f>IF(AND(BA67=0,$B67&gt;=U$22,$B67&lt;=U$22+ANALYSIS!$G$5,$C67&gt;=U$23,$C67&lt;=U$23+ANALYSIS!$G$6),1,0)</f>
        <v>0</v>
      </c>
      <c r="AL67">
        <f>IF(AND(BB67=0,$B67&gt;=V$22,$B67&lt;=V$22+ANALYSIS!$G$5,$C67&gt;=V$23,$C67&lt;=V$23+ANALYSIS!$G$6),1,0)</f>
        <v>0</v>
      </c>
      <c r="AM67">
        <f>IF(AND(BC67=0,$B67&gt;=W$22,$B67&lt;=W$22+ANALYSIS!$G$5,$C67&gt;=W$23,$C67&lt;=W$23+ANALYSIS!$G$6),1,0)</f>
        <v>0</v>
      </c>
      <c r="AN67">
        <f>IF(AND(BD67=0,$B67&gt;=X$22,$B67&lt;=X$22+ANALYSIS!$G$5,$C67&gt;=X$23,$C67&lt;=X$23+ANALYSIS!$G$6),1,0)</f>
        <v>0</v>
      </c>
      <c r="AO67">
        <f>IF(AND(BE67=0,$B67&gt;=Y$22,$B67&lt;=Y$22+ANALYSIS!$G$5,$C67&gt;=Y$23,$C67&lt;=Y$23+ANALYSIS!$G$6),1,0)</f>
        <v>0</v>
      </c>
      <c r="AP67">
        <f>IF(AND(BF67=0,$B67&gt;=Z$22,$B67&lt;=Z$22+ANALYSIS!$G$5,$C67&gt;=Z$23,$C67&lt;=Z$23+ANALYSIS!$G$6),1,0)</f>
        <v>0</v>
      </c>
      <c r="AQ67">
        <f>IF(AND(BG67=0,$B67&gt;=AA$22,$B67&lt;=AA$22+ANALYSIS!$G$5,$C67&gt;=AA$23,$C67&lt;=AA$23+ANALYSIS!$G$6),1,0)</f>
        <v>0</v>
      </c>
      <c r="AR67">
        <f>IF(AND(BH67=0,$B67&gt;=AB$22,$B67&lt;=AB$22+ANALYSIS!$G$5,$C67&gt;=AB$23,$C67&lt;=AB$23+ANALYSIS!$G$6),1,0)</f>
        <v>0</v>
      </c>
      <c r="AS67">
        <f>IF(AND(BI67=0,$B67&gt;=AC$22,$B67&lt;=AC$22+ANALYSIS!$G$5,$C67&gt;=AC$23,$C67&lt;=AC$23+ANALYSIS!$G$6),1,0)</f>
        <v>0</v>
      </c>
      <c r="AT67">
        <f>IF(AND(BJ67=0,$B67&gt;=AD$22,$B67&lt;=AD$22+ANALYSIS!$G$5,$C67&gt;=AD$23,$C67&lt;=AD$23+ANALYSIS!$G$6),1,0)</f>
        <v>0</v>
      </c>
      <c r="AU67">
        <f>IF(AND(BK67=0,$B67&gt;=AE$22,$B67&lt;=AE$22+ANALYSIS!$G$5,$C67&gt;=AE$23,$C67&lt;=AE$23+ANALYSIS!$G$6),1,0)</f>
        <v>0</v>
      </c>
      <c r="AV67">
        <f>IF(AND(BL67=0,$B67&gt;=AF$22,$B67&lt;=AF$22+ANALYSIS!$G$5,$C67&gt;=AF$23,$C67&lt;=AF$23+ANALYSIS!$G$6),1,0)</f>
        <v>0</v>
      </c>
      <c r="AX67">
        <v>0</v>
      </c>
      <c r="AY67">
        <f t="shared" si="13"/>
        <v>0</v>
      </c>
      <c r="AZ67">
        <f t="shared" si="14"/>
        <v>1</v>
      </c>
      <c r="BA67">
        <f t="shared" si="15"/>
        <v>1</v>
      </c>
      <c r="BB67">
        <f t="shared" si="16"/>
        <v>1</v>
      </c>
      <c r="BC67">
        <f t="shared" si="17"/>
        <v>1</v>
      </c>
      <c r="BD67">
        <f t="shared" si="18"/>
        <v>1</v>
      </c>
      <c r="BE67">
        <f t="shared" si="19"/>
        <v>1</v>
      </c>
      <c r="BF67">
        <f t="shared" si="20"/>
        <v>1</v>
      </c>
      <c r="BG67">
        <f t="shared" si="21"/>
        <v>1</v>
      </c>
      <c r="BH67">
        <f t="shared" si="22"/>
        <v>1</v>
      </c>
      <c r="BI67">
        <f t="shared" si="23"/>
        <v>1</v>
      </c>
      <c r="BJ67">
        <f t="shared" si="24"/>
        <v>1</v>
      </c>
      <c r="BK67">
        <f t="shared" si="25"/>
        <v>1</v>
      </c>
      <c r="BL67">
        <f t="shared" si="26"/>
        <v>1</v>
      </c>
      <c r="BM67">
        <f t="shared" si="27"/>
        <v>1</v>
      </c>
    </row>
    <row r="68" spans="1:65" x14ac:dyDescent="0.25">
      <c r="A68" s="41" t="str">
        <f>ANALYSIS!B74</f>
        <v>19-44</v>
      </c>
      <c r="B68" s="41">
        <f>ANALYSIS!E74</f>
        <v>53</v>
      </c>
      <c r="C68" s="41">
        <f>ANALYSIS!G74</f>
        <v>21.81</v>
      </c>
      <c r="D68" s="41">
        <f t="shared" si="12"/>
        <v>4</v>
      </c>
      <c r="R68" cm="1">
        <f t="array" ref="R68">IF(AX68&gt;0,0,SUMPRODUCT((AX$25:AX$124=0)*($B$25:$B$124&gt;=$B68)*($B$25:$B$124&lt;=$B68+ANALYSIS!$G$5)*($C$25:$C$124&gt;=$C68)*($C$25:$C$124&lt;=$C68+ANALYSIS!$G$6)))</f>
        <v>5</v>
      </c>
      <c r="S68" cm="1">
        <f t="array" ref="S68">IF(AY68&gt;0,0,SUMPRODUCT((AY$25:AY$124=0)*($B$25:$B$124&gt;=$B68)*($B$25:$B$124&lt;=$B68+ANALYSIS!$G$5)*($C$25:$C$124&gt;=$C68)*($C$25:$C$124&lt;=$C68+ANALYSIS!$G$6)))</f>
        <v>5</v>
      </c>
      <c r="T68" cm="1">
        <f t="array" ref="T68">IF(AZ68&gt;0,0,SUMPRODUCT((AZ$25:AZ$124=0)*($B$25:$B$124&gt;=$B68)*($B$25:$B$124&lt;=$B68+ANALYSIS!$G$5)*($C$25:$C$124&gt;=$C68)*($C$25:$C$124&lt;=$C68+ANALYSIS!$G$6)))</f>
        <v>5</v>
      </c>
      <c r="U68" cm="1">
        <f t="array" ref="U68">IF(BA68&gt;0,0,SUMPRODUCT((BA$25:BA$124=0)*($B$25:$B$124&gt;=$B68)*($B$25:$B$124&lt;=$B68+ANALYSIS!$G$5)*($C$25:$C$124&gt;=$C68)*($C$25:$C$124&lt;=$C68+ANALYSIS!$G$6)))</f>
        <v>5</v>
      </c>
      <c r="V68" cm="1">
        <f t="array" ref="V68">IF(BB68&gt;0,0,SUMPRODUCT((BB$25:BB$124=0)*($B$25:$B$124&gt;=$B68)*($B$25:$B$124&lt;=$B68+ANALYSIS!$G$5)*($C$25:$C$124&gt;=$C68)*($C$25:$C$124&lt;=$C68+ANALYSIS!$G$6)))</f>
        <v>0</v>
      </c>
      <c r="W68" cm="1">
        <f t="array" ref="W68">IF(BC68&gt;0,0,SUMPRODUCT((BC$25:BC$124=0)*($B$25:$B$124&gt;=$B68)*($B$25:$B$124&lt;=$B68+ANALYSIS!$G$5)*($C$25:$C$124&gt;=$C68)*($C$25:$C$124&lt;=$C68+ANALYSIS!$G$6)))</f>
        <v>0</v>
      </c>
      <c r="X68" cm="1">
        <f t="array" ref="X68">IF(BD68&gt;0,0,SUMPRODUCT((BD$25:BD$124=0)*($B$25:$B$124&gt;=$B68)*($B$25:$B$124&lt;=$B68+ANALYSIS!$G$5)*($C$25:$C$124&gt;=$C68)*($C$25:$C$124&lt;=$C68+ANALYSIS!$G$6)))</f>
        <v>0</v>
      </c>
      <c r="Y68" cm="1">
        <f t="array" ref="Y68">IF(BE68&gt;0,0,SUMPRODUCT((BE$25:BE$124=0)*($B$25:$B$124&gt;=$B68)*($B$25:$B$124&lt;=$B68+ANALYSIS!$G$5)*($C$25:$C$124&gt;=$C68)*($C$25:$C$124&lt;=$C68+ANALYSIS!$G$6)))</f>
        <v>0</v>
      </c>
      <c r="Z68" cm="1">
        <f t="array" ref="Z68">IF(BF68&gt;0,0,SUMPRODUCT((BF$25:BF$124=0)*($B$25:$B$124&gt;=$B68)*($B$25:$B$124&lt;=$B68+ANALYSIS!$G$5)*($C$25:$C$124&gt;=$C68)*($C$25:$C$124&lt;=$C68+ANALYSIS!$G$6)))</f>
        <v>0</v>
      </c>
      <c r="AA68" cm="1">
        <f t="array" ref="AA68">IF(BG68&gt;0,0,SUMPRODUCT((BG$25:BG$124=0)*($B$25:$B$124&gt;=$B68)*($B$25:$B$124&lt;=$B68+ANALYSIS!$G$5)*($C$25:$C$124&gt;=$C68)*($C$25:$C$124&lt;=$C68+ANALYSIS!$G$6)))</f>
        <v>0</v>
      </c>
      <c r="AB68" cm="1">
        <f t="array" ref="AB68">IF(BH68&gt;0,0,SUMPRODUCT((BH$25:BH$124=0)*($B$25:$B$124&gt;=$B68)*($B$25:$B$124&lt;=$B68+ANALYSIS!$G$5)*($C$25:$C$124&gt;=$C68)*($C$25:$C$124&lt;=$C68+ANALYSIS!$G$6)))</f>
        <v>0</v>
      </c>
      <c r="AC68" cm="1">
        <f t="array" ref="AC68">IF(BI68&gt;0,0,SUMPRODUCT((BI$25:BI$124=0)*($B$25:$B$124&gt;=$B68)*($B$25:$B$124&lt;=$B68+ANALYSIS!$G$5)*($C$25:$C$124&gt;=$C68)*($C$25:$C$124&lt;=$C68+ANALYSIS!$G$6)))</f>
        <v>0</v>
      </c>
      <c r="AD68" cm="1">
        <f t="array" ref="AD68">IF(BJ68&gt;0,0,SUMPRODUCT((BJ$25:BJ$124=0)*($B$25:$B$124&gt;=$B68)*($B$25:$B$124&lt;=$B68+ANALYSIS!$G$5)*($C$25:$C$124&gt;=$C68)*($C$25:$C$124&lt;=$C68+ANALYSIS!$G$6)))</f>
        <v>0</v>
      </c>
      <c r="AE68" cm="1">
        <f t="array" ref="AE68">IF(BK68&gt;0,0,SUMPRODUCT((BK$25:BK$124=0)*($B$25:$B$124&gt;=$B68)*($B$25:$B$124&lt;=$B68+ANALYSIS!$G$5)*($C$25:$C$124&gt;=$C68)*($C$25:$C$124&lt;=$C68+ANALYSIS!$G$6)))</f>
        <v>0</v>
      </c>
      <c r="AF68" cm="1">
        <f t="array" ref="AF68">IF(BL68&gt;0,0,SUMPRODUCT((BL$25:BL$124=0)*($B$25:$B$124&gt;=$B68)*($B$25:$B$124&lt;=$B68+ANALYSIS!$G$5)*($C$25:$C$124&gt;=$C68)*($C$25:$C$124&lt;=$C68+ANALYSIS!$G$6)))</f>
        <v>0</v>
      </c>
      <c r="AH68">
        <f>IF(AND(AX68=0,$B68&gt;=R$22,$B68&lt;=R$22+ANALYSIS!$G$5,$C68&gt;=R$23,$C68&lt;=R$23+ANALYSIS!$G$6),1,0)</f>
        <v>0</v>
      </c>
      <c r="AI68">
        <f>IF(AND(AY68=0,$B68&gt;=S$22,$B68&lt;=S$22+ANALYSIS!$G$5,$C68&gt;=S$23,$C68&lt;=S$23+ANALYSIS!$G$6),1,0)</f>
        <v>0</v>
      </c>
      <c r="AJ68">
        <f>IF(AND(AZ68=0,$B68&gt;=T$22,$B68&lt;=T$22+ANALYSIS!$G$5,$C68&gt;=T$23,$C68&lt;=T$23+ANALYSIS!$G$6),1,0)</f>
        <v>0</v>
      </c>
      <c r="AK68">
        <f>IF(AND(BA68=0,$B68&gt;=U$22,$B68&lt;=U$22+ANALYSIS!$G$5,$C68&gt;=U$23,$C68&lt;=U$23+ANALYSIS!$G$6),1,0)</f>
        <v>1</v>
      </c>
      <c r="AL68">
        <f>IF(AND(BB68=0,$B68&gt;=V$22,$B68&lt;=V$22+ANALYSIS!$G$5,$C68&gt;=V$23,$C68&lt;=V$23+ANALYSIS!$G$6),1,0)</f>
        <v>0</v>
      </c>
      <c r="AM68">
        <f>IF(AND(BC68=0,$B68&gt;=W$22,$B68&lt;=W$22+ANALYSIS!$G$5,$C68&gt;=W$23,$C68&lt;=W$23+ANALYSIS!$G$6),1,0)</f>
        <v>0</v>
      </c>
      <c r="AN68">
        <f>IF(AND(BD68=0,$B68&gt;=X$22,$B68&lt;=X$22+ANALYSIS!$G$5,$C68&gt;=X$23,$C68&lt;=X$23+ANALYSIS!$G$6),1,0)</f>
        <v>0</v>
      </c>
      <c r="AO68">
        <f>IF(AND(BE68=0,$B68&gt;=Y$22,$B68&lt;=Y$22+ANALYSIS!$G$5,$C68&gt;=Y$23,$C68&lt;=Y$23+ANALYSIS!$G$6),1,0)</f>
        <v>0</v>
      </c>
      <c r="AP68">
        <f>IF(AND(BF68=0,$B68&gt;=Z$22,$B68&lt;=Z$22+ANALYSIS!$G$5,$C68&gt;=Z$23,$C68&lt;=Z$23+ANALYSIS!$G$6),1,0)</f>
        <v>0</v>
      </c>
      <c r="AQ68">
        <f>IF(AND(BG68=0,$B68&gt;=AA$22,$B68&lt;=AA$22+ANALYSIS!$G$5,$C68&gt;=AA$23,$C68&lt;=AA$23+ANALYSIS!$G$6),1,0)</f>
        <v>0</v>
      </c>
      <c r="AR68">
        <f>IF(AND(BH68=0,$B68&gt;=AB$22,$B68&lt;=AB$22+ANALYSIS!$G$5,$C68&gt;=AB$23,$C68&lt;=AB$23+ANALYSIS!$G$6),1,0)</f>
        <v>0</v>
      </c>
      <c r="AS68">
        <f>IF(AND(BI68=0,$B68&gt;=AC$22,$B68&lt;=AC$22+ANALYSIS!$G$5,$C68&gt;=AC$23,$C68&lt;=AC$23+ANALYSIS!$G$6),1,0)</f>
        <v>0</v>
      </c>
      <c r="AT68">
        <f>IF(AND(BJ68=0,$B68&gt;=AD$22,$B68&lt;=AD$22+ANALYSIS!$G$5,$C68&gt;=AD$23,$C68&lt;=AD$23+ANALYSIS!$G$6),1,0)</f>
        <v>0</v>
      </c>
      <c r="AU68">
        <f>IF(AND(BK68=0,$B68&gt;=AE$22,$B68&lt;=AE$22+ANALYSIS!$G$5,$C68&gt;=AE$23,$C68&lt;=AE$23+ANALYSIS!$G$6),1,0)</f>
        <v>0</v>
      </c>
      <c r="AV68">
        <f>IF(AND(BL68=0,$B68&gt;=AF$22,$B68&lt;=AF$22+ANALYSIS!$G$5,$C68&gt;=AF$23,$C68&lt;=AF$23+ANALYSIS!$G$6),1,0)</f>
        <v>0</v>
      </c>
      <c r="AX68">
        <v>0</v>
      </c>
      <c r="AY68">
        <f t="shared" si="13"/>
        <v>0</v>
      </c>
      <c r="AZ68">
        <f t="shared" si="14"/>
        <v>0</v>
      </c>
      <c r="BA68">
        <f t="shared" si="15"/>
        <v>0</v>
      </c>
      <c r="BB68">
        <f t="shared" si="16"/>
        <v>1</v>
      </c>
      <c r="BC68">
        <f t="shared" si="17"/>
        <v>1</v>
      </c>
      <c r="BD68">
        <f t="shared" si="18"/>
        <v>1</v>
      </c>
      <c r="BE68">
        <f t="shared" si="19"/>
        <v>1</v>
      </c>
      <c r="BF68">
        <f t="shared" si="20"/>
        <v>1</v>
      </c>
      <c r="BG68">
        <f t="shared" si="21"/>
        <v>1</v>
      </c>
      <c r="BH68">
        <f t="shared" si="22"/>
        <v>1</v>
      </c>
      <c r="BI68">
        <f t="shared" si="23"/>
        <v>1</v>
      </c>
      <c r="BJ68">
        <f t="shared" si="24"/>
        <v>1</v>
      </c>
      <c r="BK68">
        <f t="shared" si="25"/>
        <v>1</v>
      </c>
      <c r="BL68">
        <f t="shared" si="26"/>
        <v>1</v>
      </c>
      <c r="BM68">
        <f t="shared" si="27"/>
        <v>1</v>
      </c>
    </row>
    <row r="69" spans="1:65" x14ac:dyDescent="0.25">
      <c r="A69" s="41" t="str">
        <f>ANALYSIS!B75</f>
        <v>19-45</v>
      </c>
      <c r="B69" s="41">
        <f>ANALYSIS!E75</f>
        <v>55</v>
      </c>
      <c r="C69" s="41">
        <f>ANALYSIS!G75</f>
        <v>23.85</v>
      </c>
      <c r="D69" s="41">
        <f t="shared" si="12"/>
        <v>1</v>
      </c>
      <c r="R69" cm="1">
        <f t="array" ref="R69">IF(AX69&gt;0,0,SUMPRODUCT((AX$25:AX$124=0)*($B$25:$B$124&gt;=$B69)*($B$25:$B$124&lt;=$B69+ANALYSIS!$G$5)*($C$25:$C$124&gt;=$C69)*($C$25:$C$124&lt;=$C69+ANALYSIS!$G$6)))</f>
        <v>14</v>
      </c>
      <c r="S69" cm="1">
        <f t="array" ref="S69">IF(AY69&gt;0,0,SUMPRODUCT((AY$25:AY$124=0)*($B$25:$B$124&gt;=$B69)*($B$25:$B$124&lt;=$B69+ANALYSIS!$G$5)*($C$25:$C$124&gt;=$C69)*($C$25:$C$124&lt;=$C69+ANALYSIS!$G$6)))</f>
        <v>0</v>
      </c>
      <c r="T69" cm="1">
        <f t="array" ref="T69">IF(AZ69&gt;0,0,SUMPRODUCT((AZ$25:AZ$124=0)*($B$25:$B$124&gt;=$B69)*($B$25:$B$124&lt;=$B69+ANALYSIS!$G$5)*($C$25:$C$124&gt;=$C69)*($C$25:$C$124&lt;=$C69+ANALYSIS!$G$6)))</f>
        <v>0</v>
      </c>
      <c r="U69" cm="1">
        <f t="array" ref="U69">IF(BA69&gt;0,0,SUMPRODUCT((BA$25:BA$124=0)*($B$25:$B$124&gt;=$B69)*($B$25:$B$124&lt;=$B69+ANALYSIS!$G$5)*($C$25:$C$124&gt;=$C69)*($C$25:$C$124&lt;=$C69+ANALYSIS!$G$6)))</f>
        <v>0</v>
      </c>
      <c r="V69" cm="1">
        <f t="array" ref="V69">IF(BB69&gt;0,0,SUMPRODUCT((BB$25:BB$124=0)*($B$25:$B$124&gt;=$B69)*($B$25:$B$124&lt;=$B69+ANALYSIS!$G$5)*($C$25:$C$124&gt;=$C69)*($C$25:$C$124&lt;=$C69+ANALYSIS!$G$6)))</f>
        <v>0</v>
      </c>
      <c r="W69" cm="1">
        <f t="array" ref="W69">IF(BC69&gt;0,0,SUMPRODUCT((BC$25:BC$124=0)*($B$25:$B$124&gt;=$B69)*($B$25:$B$124&lt;=$B69+ANALYSIS!$G$5)*($C$25:$C$124&gt;=$C69)*($C$25:$C$124&lt;=$C69+ANALYSIS!$G$6)))</f>
        <v>0</v>
      </c>
      <c r="X69" cm="1">
        <f t="array" ref="X69">IF(BD69&gt;0,0,SUMPRODUCT((BD$25:BD$124=0)*($B$25:$B$124&gt;=$B69)*($B$25:$B$124&lt;=$B69+ANALYSIS!$G$5)*($C$25:$C$124&gt;=$C69)*($C$25:$C$124&lt;=$C69+ANALYSIS!$G$6)))</f>
        <v>0</v>
      </c>
      <c r="Y69" cm="1">
        <f t="array" ref="Y69">IF(BE69&gt;0,0,SUMPRODUCT((BE$25:BE$124=0)*($B$25:$B$124&gt;=$B69)*($B$25:$B$124&lt;=$B69+ANALYSIS!$G$5)*($C$25:$C$124&gt;=$C69)*($C$25:$C$124&lt;=$C69+ANALYSIS!$G$6)))</f>
        <v>0</v>
      </c>
      <c r="Z69" cm="1">
        <f t="array" ref="Z69">IF(BF69&gt;0,0,SUMPRODUCT((BF$25:BF$124=0)*($B$25:$B$124&gt;=$B69)*($B$25:$B$124&lt;=$B69+ANALYSIS!$G$5)*($C$25:$C$124&gt;=$C69)*($C$25:$C$124&lt;=$C69+ANALYSIS!$G$6)))</f>
        <v>0</v>
      </c>
      <c r="AA69" cm="1">
        <f t="array" ref="AA69">IF(BG69&gt;0,0,SUMPRODUCT((BG$25:BG$124=0)*($B$25:$B$124&gt;=$B69)*($B$25:$B$124&lt;=$B69+ANALYSIS!$G$5)*($C$25:$C$124&gt;=$C69)*($C$25:$C$124&lt;=$C69+ANALYSIS!$G$6)))</f>
        <v>0</v>
      </c>
      <c r="AB69" cm="1">
        <f t="array" ref="AB69">IF(BH69&gt;0,0,SUMPRODUCT((BH$25:BH$124=0)*($B$25:$B$124&gt;=$B69)*($B$25:$B$124&lt;=$B69+ANALYSIS!$G$5)*($C$25:$C$124&gt;=$C69)*($C$25:$C$124&lt;=$C69+ANALYSIS!$G$6)))</f>
        <v>0</v>
      </c>
      <c r="AC69" cm="1">
        <f t="array" ref="AC69">IF(BI69&gt;0,0,SUMPRODUCT((BI$25:BI$124=0)*($B$25:$B$124&gt;=$B69)*($B$25:$B$124&lt;=$B69+ANALYSIS!$G$5)*($C$25:$C$124&gt;=$C69)*($C$25:$C$124&lt;=$C69+ANALYSIS!$G$6)))</f>
        <v>0</v>
      </c>
      <c r="AD69" cm="1">
        <f t="array" ref="AD69">IF(BJ69&gt;0,0,SUMPRODUCT((BJ$25:BJ$124=0)*($B$25:$B$124&gt;=$B69)*($B$25:$B$124&lt;=$B69+ANALYSIS!$G$5)*($C$25:$C$124&gt;=$C69)*($C$25:$C$124&lt;=$C69+ANALYSIS!$G$6)))</f>
        <v>0</v>
      </c>
      <c r="AE69" cm="1">
        <f t="array" ref="AE69">IF(BK69&gt;0,0,SUMPRODUCT((BK$25:BK$124=0)*($B$25:$B$124&gt;=$B69)*($B$25:$B$124&lt;=$B69+ANALYSIS!$G$5)*($C$25:$C$124&gt;=$C69)*($C$25:$C$124&lt;=$C69+ANALYSIS!$G$6)))</f>
        <v>0</v>
      </c>
      <c r="AF69" cm="1">
        <f t="array" ref="AF69">IF(BL69&gt;0,0,SUMPRODUCT((BL$25:BL$124=0)*($B$25:$B$124&gt;=$B69)*($B$25:$B$124&lt;=$B69+ANALYSIS!$G$5)*($C$25:$C$124&gt;=$C69)*($C$25:$C$124&lt;=$C69+ANALYSIS!$G$6)))</f>
        <v>0</v>
      </c>
      <c r="AH69">
        <f>IF(AND(AX69=0,$B69&gt;=R$22,$B69&lt;=R$22+ANALYSIS!$G$5,$C69&gt;=R$23,$C69&lt;=R$23+ANALYSIS!$G$6),1,0)</f>
        <v>1</v>
      </c>
      <c r="AI69">
        <f>IF(AND(AY69=0,$B69&gt;=S$22,$B69&lt;=S$22+ANALYSIS!$G$5,$C69&gt;=S$23,$C69&lt;=S$23+ANALYSIS!$G$6),1,0)</f>
        <v>0</v>
      </c>
      <c r="AJ69">
        <f>IF(AND(AZ69=0,$B69&gt;=T$22,$B69&lt;=T$22+ANALYSIS!$G$5,$C69&gt;=T$23,$C69&lt;=T$23+ANALYSIS!$G$6),1,0)</f>
        <v>0</v>
      </c>
      <c r="AK69">
        <f>IF(AND(BA69=0,$B69&gt;=U$22,$B69&lt;=U$22+ANALYSIS!$G$5,$C69&gt;=U$23,$C69&lt;=U$23+ANALYSIS!$G$6),1,0)</f>
        <v>0</v>
      </c>
      <c r="AL69">
        <f>IF(AND(BB69=0,$B69&gt;=V$22,$B69&lt;=V$22+ANALYSIS!$G$5,$C69&gt;=V$23,$C69&lt;=V$23+ANALYSIS!$G$6),1,0)</f>
        <v>0</v>
      </c>
      <c r="AM69">
        <f>IF(AND(BC69=0,$B69&gt;=W$22,$B69&lt;=W$22+ANALYSIS!$G$5,$C69&gt;=W$23,$C69&lt;=W$23+ANALYSIS!$G$6),1,0)</f>
        <v>0</v>
      </c>
      <c r="AN69">
        <f>IF(AND(BD69=0,$B69&gt;=X$22,$B69&lt;=X$22+ANALYSIS!$G$5,$C69&gt;=X$23,$C69&lt;=X$23+ANALYSIS!$G$6),1,0)</f>
        <v>0</v>
      </c>
      <c r="AO69">
        <f>IF(AND(BE69=0,$B69&gt;=Y$22,$B69&lt;=Y$22+ANALYSIS!$G$5,$C69&gt;=Y$23,$C69&lt;=Y$23+ANALYSIS!$G$6),1,0)</f>
        <v>0</v>
      </c>
      <c r="AP69">
        <f>IF(AND(BF69=0,$B69&gt;=Z$22,$B69&lt;=Z$22+ANALYSIS!$G$5,$C69&gt;=Z$23,$C69&lt;=Z$23+ANALYSIS!$G$6),1,0)</f>
        <v>0</v>
      </c>
      <c r="AQ69">
        <f>IF(AND(BG69=0,$B69&gt;=AA$22,$B69&lt;=AA$22+ANALYSIS!$G$5,$C69&gt;=AA$23,$C69&lt;=AA$23+ANALYSIS!$G$6),1,0)</f>
        <v>0</v>
      </c>
      <c r="AR69">
        <f>IF(AND(BH69=0,$B69&gt;=AB$22,$B69&lt;=AB$22+ANALYSIS!$G$5,$C69&gt;=AB$23,$C69&lt;=AB$23+ANALYSIS!$G$6),1,0)</f>
        <v>0</v>
      </c>
      <c r="AS69">
        <f>IF(AND(BI69=0,$B69&gt;=AC$22,$B69&lt;=AC$22+ANALYSIS!$G$5,$C69&gt;=AC$23,$C69&lt;=AC$23+ANALYSIS!$G$6),1,0)</f>
        <v>0</v>
      </c>
      <c r="AT69">
        <f>IF(AND(BJ69=0,$B69&gt;=AD$22,$B69&lt;=AD$22+ANALYSIS!$G$5,$C69&gt;=AD$23,$C69&lt;=AD$23+ANALYSIS!$G$6),1,0)</f>
        <v>0</v>
      </c>
      <c r="AU69">
        <f>IF(AND(BK69=0,$B69&gt;=AE$22,$B69&lt;=AE$22+ANALYSIS!$G$5,$C69&gt;=AE$23,$C69&lt;=AE$23+ANALYSIS!$G$6),1,0)</f>
        <v>0</v>
      </c>
      <c r="AV69">
        <f>IF(AND(BL69=0,$B69&gt;=AF$22,$B69&lt;=AF$22+ANALYSIS!$G$5,$C69&gt;=AF$23,$C69&lt;=AF$23+ANALYSIS!$G$6),1,0)</f>
        <v>0</v>
      </c>
      <c r="AX69">
        <v>0</v>
      </c>
      <c r="AY69">
        <f t="shared" si="13"/>
        <v>1</v>
      </c>
      <c r="AZ69">
        <f t="shared" si="14"/>
        <v>1</v>
      </c>
      <c r="BA69">
        <f t="shared" si="15"/>
        <v>1</v>
      </c>
      <c r="BB69">
        <f t="shared" si="16"/>
        <v>1</v>
      </c>
      <c r="BC69">
        <f t="shared" si="17"/>
        <v>1</v>
      </c>
      <c r="BD69">
        <f t="shared" si="18"/>
        <v>1</v>
      </c>
      <c r="BE69">
        <f t="shared" si="19"/>
        <v>1</v>
      </c>
      <c r="BF69">
        <f t="shared" si="20"/>
        <v>1</v>
      </c>
      <c r="BG69">
        <f t="shared" si="21"/>
        <v>1</v>
      </c>
      <c r="BH69">
        <f t="shared" si="22"/>
        <v>1</v>
      </c>
      <c r="BI69">
        <f t="shared" si="23"/>
        <v>1</v>
      </c>
      <c r="BJ69">
        <f t="shared" si="24"/>
        <v>1</v>
      </c>
      <c r="BK69">
        <f t="shared" si="25"/>
        <v>1</v>
      </c>
      <c r="BL69">
        <f t="shared" si="26"/>
        <v>1</v>
      </c>
      <c r="BM69">
        <f t="shared" si="27"/>
        <v>1</v>
      </c>
    </row>
    <row r="70" spans="1:65" x14ac:dyDescent="0.25">
      <c r="A70" s="41" t="str">
        <f>ANALYSIS!B76</f>
        <v>19-46</v>
      </c>
      <c r="B70" s="41">
        <f>ANALYSIS!E76</f>
        <v>56.5</v>
      </c>
      <c r="C70" s="41">
        <f>ANALYSIS!G76</f>
        <v>24.12</v>
      </c>
      <c r="D70" s="41">
        <f t="shared" si="12"/>
        <v>1</v>
      </c>
      <c r="R70" cm="1">
        <f t="array" ref="R70">IF(AX70&gt;0,0,SUMPRODUCT((AX$25:AX$124=0)*($B$25:$B$124&gt;=$B70)*($B$25:$B$124&lt;=$B70+ANALYSIS!$G$5)*($C$25:$C$124&gt;=$C70)*($C$25:$C$124&lt;=$C70+ANALYSIS!$G$6)))</f>
        <v>6</v>
      </c>
      <c r="S70" cm="1">
        <f t="array" ref="S70">IF(AY70&gt;0,0,SUMPRODUCT((AY$25:AY$124=0)*($B$25:$B$124&gt;=$B70)*($B$25:$B$124&lt;=$B70+ANALYSIS!$G$5)*($C$25:$C$124&gt;=$C70)*($C$25:$C$124&lt;=$C70+ANALYSIS!$G$6)))</f>
        <v>0</v>
      </c>
      <c r="T70" cm="1">
        <f t="array" ref="T70">IF(AZ70&gt;0,0,SUMPRODUCT((AZ$25:AZ$124=0)*($B$25:$B$124&gt;=$B70)*($B$25:$B$124&lt;=$B70+ANALYSIS!$G$5)*($C$25:$C$124&gt;=$C70)*($C$25:$C$124&lt;=$C70+ANALYSIS!$G$6)))</f>
        <v>0</v>
      </c>
      <c r="U70" cm="1">
        <f t="array" ref="U70">IF(BA70&gt;0,0,SUMPRODUCT((BA$25:BA$124=0)*($B$25:$B$124&gt;=$B70)*($B$25:$B$124&lt;=$B70+ANALYSIS!$G$5)*($C$25:$C$124&gt;=$C70)*($C$25:$C$124&lt;=$C70+ANALYSIS!$G$6)))</f>
        <v>0</v>
      </c>
      <c r="V70" cm="1">
        <f t="array" ref="V70">IF(BB70&gt;0,0,SUMPRODUCT((BB$25:BB$124=0)*($B$25:$B$124&gt;=$B70)*($B$25:$B$124&lt;=$B70+ANALYSIS!$G$5)*($C$25:$C$124&gt;=$C70)*($C$25:$C$124&lt;=$C70+ANALYSIS!$G$6)))</f>
        <v>0</v>
      </c>
      <c r="W70" cm="1">
        <f t="array" ref="W70">IF(BC70&gt;0,0,SUMPRODUCT((BC$25:BC$124=0)*($B$25:$B$124&gt;=$B70)*($B$25:$B$124&lt;=$B70+ANALYSIS!$G$5)*($C$25:$C$124&gt;=$C70)*($C$25:$C$124&lt;=$C70+ANALYSIS!$G$6)))</f>
        <v>0</v>
      </c>
      <c r="X70" cm="1">
        <f t="array" ref="X70">IF(BD70&gt;0,0,SUMPRODUCT((BD$25:BD$124=0)*($B$25:$B$124&gt;=$B70)*($B$25:$B$124&lt;=$B70+ANALYSIS!$G$5)*($C$25:$C$124&gt;=$C70)*($C$25:$C$124&lt;=$C70+ANALYSIS!$G$6)))</f>
        <v>0</v>
      </c>
      <c r="Y70" cm="1">
        <f t="array" ref="Y70">IF(BE70&gt;0,0,SUMPRODUCT((BE$25:BE$124=0)*($B$25:$B$124&gt;=$B70)*($B$25:$B$124&lt;=$B70+ANALYSIS!$G$5)*($C$25:$C$124&gt;=$C70)*($C$25:$C$124&lt;=$C70+ANALYSIS!$G$6)))</f>
        <v>0</v>
      </c>
      <c r="Z70" cm="1">
        <f t="array" ref="Z70">IF(BF70&gt;0,0,SUMPRODUCT((BF$25:BF$124=0)*($B$25:$B$124&gt;=$B70)*($B$25:$B$124&lt;=$B70+ANALYSIS!$G$5)*($C$25:$C$124&gt;=$C70)*($C$25:$C$124&lt;=$C70+ANALYSIS!$G$6)))</f>
        <v>0</v>
      </c>
      <c r="AA70" cm="1">
        <f t="array" ref="AA70">IF(BG70&gt;0,0,SUMPRODUCT((BG$25:BG$124=0)*($B$25:$B$124&gt;=$B70)*($B$25:$B$124&lt;=$B70+ANALYSIS!$G$5)*($C$25:$C$124&gt;=$C70)*($C$25:$C$124&lt;=$C70+ANALYSIS!$G$6)))</f>
        <v>0</v>
      </c>
      <c r="AB70" cm="1">
        <f t="array" ref="AB70">IF(BH70&gt;0,0,SUMPRODUCT((BH$25:BH$124=0)*($B$25:$B$124&gt;=$B70)*($B$25:$B$124&lt;=$B70+ANALYSIS!$G$5)*($C$25:$C$124&gt;=$C70)*($C$25:$C$124&lt;=$C70+ANALYSIS!$G$6)))</f>
        <v>0</v>
      </c>
      <c r="AC70" cm="1">
        <f t="array" ref="AC70">IF(BI70&gt;0,0,SUMPRODUCT((BI$25:BI$124=0)*($B$25:$B$124&gt;=$B70)*($B$25:$B$124&lt;=$B70+ANALYSIS!$G$5)*($C$25:$C$124&gt;=$C70)*($C$25:$C$124&lt;=$C70+ANALYSIS!$G$6)))</f>
        <v>0</v>
      </c>
      <c r="AD70" cm="1">
        <f t="array" ref="AD70">IF(BJ70&gt;0,0,SUMPRODUCT((BJ$25:BJ$124=0)*($B$25:$B$124&gt;=$B70)*($B$25:$B$124&lt;=$B70+ANALYSIS!$G$5)*($C$25:$C$124&gt;=$C70)*($C$25:$C$124&lt;=$C70+ANALYSIS!$G$6)))</f>
        <v>0</v>
      </c>
      <c r="AE70" cm="1">
        <f t="array" ref="AE70">IF(BK70&gt;0,0,SUMPRODUCT((BK$25:BK$124=0)*($B$25:$B$124&gt;=$B70)*($B$25:$B$124&lt;=$B70+ANALYSIS!$G$5)*($C$25:$C$124&gt;=$C70)*($C$25:$C$124&lt;=$C70+ANALYSIS!$G$6)))</f>
        <v>0</v>
      </c>
      <c r="AF70" cm="1">
        <f t="array" ref="AF70">IF(BL70&gt;0,0,SUMPRODUCT((BL$25:BL$124=0)*($B$25:$B$124&gt;=$B70)*($B$25:$B$124&lt;=$B70+ANALYSIS!$G$5)*($C$25:$C$124&gt;=$C70)*($C$25:$C$124&lt;=$C70+ANALYSIS!$G$6)))</f>
        <v>0</v>
      </c>
      <c r="AH70">
        <f>IF(AND(AX70=0,$B70&gt;=R$22,$B70&lt;=R$22+ANALYSIS!$G$5,$C70&gt;=R$23,$C70&lt;=R$23+ANALYSIS!$G$6),1,0)</f>
        <v>1</v>
      </c>
      <c r="AI70">
        <f>IF(AND(AY70=0,$B70&gt;=S$22,$B70&lt;=S$22+ANALYSIS!$G$5,$C70&gt;=S$23,$C70&lt;=S$23+ANALYSIS!$G$6),1,0)</f>
        <v>0</v>
      </c>
      <c r="AJ70">
        <f>IF(AND(AZ70=0,$B70&gt;=T$22,$B70&lt;=T$22+ANALYSIS!$G$5,$C70&gt;=T$23,$C70&lt;=T$23+ANALYSIS!$G$6),1,0)</f>
        <v>0</v>
      </c>
      <c r="AK70">
        <f>IF(AND(BA70=0,$B70&gt;=U$22,$B70&lt;=U$22+ANALYSIS!$G$5,$C70&gt;=U$23,$C70&lt;=U$23+ANALYSIS!$G$6),1,0)</f>
        <v>0</v>
      </c>
      <c r="AL70">
        <f>IF(AND(BB70=0,$B70&gt;=V$22,$B70&lt;=V$22+ANALYSIS!$G$5,$C70&gt;=V$23,$C70&lt;=V$23+ANALYSIS!$G$6),1,0)</f>
        <v>0</v>
      </c>
      <c r="AM70">
        <f>IF(AND(BC70=0,$B70&gt;=W$22,$B70&lt;=W$22+ANALYSIS!$G$5,$C70&gt;=W$23,$C70&lt;=W$23+ANALYSIS!$G$6),1,0)</f>
        <v>0</v>
      </c>
      <c r="AN70">
        <f>IF(AND(BD70=0,$B70&gt;=X$22,$B70&lt;=X$22+ANALYSIS!$G$5,$C70&gt;=X$23,$C70&lt;=X$23+ANALYSIS!$G$6),1,0)</f>
        <v>0</v>
      </c>
      <c r="AO70">
        <f>IF(AND(BE70=0,$B70&gt;=Y$22,$B70&lt;=Y$22+ANALYSIS!$G$5,$C70&gt;=Y$23,$C70&lt;=Y$23+ANALYSIS!$G$6),1,0)</f>
        <v>0</v>
      </c>
      <c r="AP70">
        <f>IF(AND(BF70=0,$B70&gt;=Z$22,$B70&lt;=Z$22+ANALYSIS!$G$5,$C70&gt;=Z$23,$C70&lt;=Z$23+ANALYSIS!$G$6),1,0)</f>
        <v>0</v>
      </c>
      <c r="AQ70">
        <f>IF(AND(BG70=0,$B70&gt;=AA$22,$B70&lt;=AA$22+ANALYSIS!$G$5,$C70&gt;=AA$23,$C70&lt;=AA$23+ANALYSIS!$G$6),1,0)</f>
        <v>0</v>
      </c>
      <c r="AR70">
        <f>IF(AND(BH70=0,$B70&gt;=AB$22,$B70&lt;=AB$22+ANALYSIS!$G$5,$C70&gt;=AB$23,$C70&lt;=AB$23+ANALYSIS!$G$6),1,0)</f>
        <v>0</v>
      </c>
      <c r="AS70">
        <f>IF(AND(BI70=0,$B70&gt;=AC$22,$B70&lt;=AC$22+ANALYSIS!$G$5,$C70&gt;=AC$23,$C70&lt;=AC$23+ANALYSIS!$G$6),1,0)</f>
        <v>0</v>
      </c>
      <c r="AT70">
        <f>IF(AND(BJ70=0,$B70&gt;=AD$22,$B70&lt;=AD$22+ANALYSIS!$G$5,$C70&gt;=AD$23,$C70&lt;=AD$23+ANALYSIS!$G$6),1,0)</f>
        <v>0</v>
      </c>
      <c r="AU70">
        <f>IF(AND(BK70=0,$B70&gt;=AE$22,$B70&lt;=AE$22+ANALYSIS!$G$5,$C70&gt;=AE$23,$C70&lt;=AE$23+ANALYSIS!$G$6),1,0)</f>
        <v>0</v>
      </c>
      <c r="AV70">
        <f>IF(AND(BL70=0,$B70&gt;=AF$22,$B70&lt;=AF$22+ANALYSIS!$G$5,$C70&gt;=AF$23,$C70&lt;=AF$23+ANALYSIS!$G$6),1,0)</f>
        <v>0</v>
      </c>
      <c r="AX70">
        <v>0</v>
      </c>
      <c r="AY70">
        <f t="shared" si="13"/>
        <v>1</v>
      </c>
      <c r="AZ70">
        <f t="shared" si="14"/>
        <v>1</v>
      </c>
      <c r="BA70">
        <f t="shared" si="15"/>
        <v>1</v>
      </c>
      <c r="BB70">
        <f t="shared" si="16"/>
        <v>1</v>
      </c>
      <c r="BC70">
        <f t="shared" si="17"/>
        <v>1</v>
      </c>
      <c r="BD70">
        <f t="shared" si="18"/>
        <v>1</v>
      </c>
      <c r="BE70">
        <f t="shared" si="19"/>
        <v>1</v>
      </c>
      <c r="BF70">
        <f t="shared" si="20"/>
        <v>1</v>
      </c>
      <c r="BG70">
        <f t="shared" si="21"/>
        <v>1</v>
      </c>
      <c r="BH70">
        <f t="shared" si="22"/>
        <v>1</v>
      </c>
      <c r="BI70">
        <f t="shared" si="23"/>
        <v>1</v>
      </c>
      <c r="BJ70">
        <f t="shared" si="24"/>
        <v>1</v>
      </c>
      <c r="BK70">
        <f t="shared" si="25"/>
        <v>1</v>
      </c>
      <c r="BL70">
        <f t="shared" si="26"/>
        <v>1</v>
      </c>
      <c r="BM70">
        <f t="shared" si="27"/>
        <v>1</v>
      </c>
    </row>
    <row r="71" spans="1:65" x14ac:dyDescent="0.25">
      <c r="A71" s="41" t="str">
        <f>ANALYSIS!B77</f>
        <v>19-47</v>
      </c>
      <c r="B71" s="41">
        <f>ANALYSIS!E77</f>
        <v>58</v>
      </c>
      <c r="C71" s="41">
        <f>ANALYSIS!G77</f>
        <v>24.94</v>
      </c>
      <c r="D71" s="41">
        <f t="shared" si="12"/>
        <v>10</v>
      </c>
      <c r="R71" cm="1">
        <f t="array" ref="R71">IF(AX71&gt;0,0,SUMPRODUCT((AX$25:AX$124=0)*($B$25:$B$124&gt;=$B71)*($B$25:$B$124&lt;=$B71+ANALYSIS!$G$5)*($C$25:$C$124&gt;=$C71)*($C$25:$C$124&lt;=$C71+ANALYSIS!$G$6)))</f>
        <v>2</v>
      </c>
      <c r="S71" cm="1">
        <f t="array" ref="S71">IF(AY71&gt;0,0,SUMPRODUCT((AY$25:AY$124=0)*($B$25:$B$124&gt;=$B71)*($B$25:$B$124&lt;=$B71+ANALYSIS!$G$5)*($C$25:$C$124&gt;=$C71)*($C$25:$C$124&lt;=$C71+ANALYSIS!$G$6)))</f>
        <v>2</v>
      </c>
      <c r="T71" cm="1">
        <f t="array" ref="T71">IF(AZ71&gt;0,0,SUMPRODUCT((AZ$25:AZ$124=0)*($B$25:$B$124&gt;=$B71)*($B$25:$B$124&lt;=$B71+ANALYSIS!$G$5)*($C$25:$C$124&gt;=$C71)*($C$25:$C$124&lt;=$C71+ANALYSIS!$G$6)))</f>
        <v>2</v>
      </c>
      <c r="U71" cm="1">
        <f t="array" ref="U71">IF(BA71&gt;0,0,SUMPRODUCT((BA$25:BA$124=0)*($B$25:$B$124&gt;=$B71)*($B$25:$B$124&lt;=$B71+ANALYSIS!$G$5)*($C$25:$C$124&gt;=$C71)*($C$25:$C$124&lt;=$C71+ANALYSIS!$G$6)))</f>
        <v>2</v>
      </c>
      <c r="V71" cm="1">
        <f t="array" ref="V71">IF(BB71&gt;0,0,SUMPRODUCT((BB$25:BB$124=0)*($B$25:$B$124&gt;=$B71)*($B$25:$B$124&lt;=$B71+ANALYSIS!$G$5)*($C$25:$C$124&gt;=$C71)*($C$25:$C$124&lt;=$C71+ANALYSIS!$G$6)))</f>
        <v>2</v>
      </c>
      <c r="W71" cm="1">
        <f t="array" ref="W71">IF(BC71&gt;0,0,SUMPRODUCT((BC$25:BC$124=0)*($B$25:$B$124&gt;=$B71)*($B$25:$B$124&lt;=$B71+ANALYSIS!$G$5)*($C$25:$C$124&gt;=$C71)*($C$25:$C$124&lt;=$C71+ANALYSIS!$G$6)))</f>
        <v>2</v>
      </c>
      <c r="X71" cm="1">
        <f t="array" ref="X71">IF(BD71&gt;0,0,SUMPRODUCT((BD$25:BD$124=0)*($B$25:$B$124&gt;=$B71)*($B$25:$B$124&lt;=$B71+ANALYSIS!$G$5)*($C$25:$C$124&gt;=$C71)*($C$25:$C$124&lt;=$C71+ANALYSIS!$G$6)))</f>
        <v>2</v>
      </c>
      <c r="Y71" cm="1">
        <f t="array" ref="Y71">IF(BE71&gt;0,0,SUMPRODUCT((BE$25:BE$124=0)*($B$25:$B$124&gt;=$B71)*($B$25:$B$124&lt;=$B71+ANALYSIS!$G$5)*($C$25:$C$124&gt;=$C71)*($C$25:$C$124&lt;=$C71+ANALYSIS!$G$6)))</f>
        <v>2</v>
      </c>
      <c r="Z71" cm="1">
        <f t="array" ref="Z71">IF(BF71&gt;0,0,SUMPRODUCT((BF$25:BF$124=0)*($B$25:$B$124&gt;=$B71)*($B$25:$B$124&lt;=$B71+ANALYSIS!$G$5)*($C$25:$C$124&gt;=$C71)*($C$25:$C$124&lt;=$C71+ANALYSIS!$G$6)))</f>
        <v>2</v>
      </c>
      <c r="AA71" cm="1">
        <f t="array" ref="AA71">IF(BG71&gt;0,0,SUMPRODUCT((BG$25:BG$124=0)*($B$25:$B$124&gt;=$B71)*($B$25:$B$124&lt;=$B71+ANALYSIS!$G$5)*($C$25:$C$124&gt;=$C71)*($C$25:$C$124&lt;=$C71+ANALYSIS!$G$6)))</f>
        <v>2</v>
      </c>
      <c r="AB71" cm="1">
        <f t="array" ref="AB71">IF(BH71&gt;0,0,SUMPRODUCT((BH$25:BH$124=0)*($B$25:$B$124&gt;=$B71)*($B$25:$B$124&lt;=$B71+ANALYSIS!$G$5)*($C$25:$C$124&gt;=$C71)*($C$25:$C$124&lt;=$C71+ANALYSIS!$G$6)))</f>
        <v>0</v>
      </c>
      <c r="AC71" cm="1">
        <f t="array" ref="AC71">IF(BI71&gt;0,0,SUMPRODUCT((BI$25:BI$124=0)*($B$25:$B$124&gt;=$B71)*($B$25:$B$124&lt;=$B71+ANALYSIS!$G$5)*($C$25:$C$124&gt;=$C71)*($C$25:$C$124&lt;=$C71+ANALYSIS!$G$6)))</f>
        <v>0</v>
      </c>
      <c r="AD71" cm="1">
        <f t="array" ref="AD71">IF(BJ71&gt;0,0,SUMPRODUCT((BJ$25:BJ$124=0)*($B$25:$B$124&gt;=$B71)*($B$25:$B$124&lt;=$B71+ANALYSIS!$G$5)*($C$25:$C$124&gt;=$C71)*($C$25:$C$124&lt;=$C71+ANALYSIS!$G$6)))</f>
        <v>0</v>
      </c>
      <c r="AE71" cm="1">
        <f t="array" ref="AE71">IF(BK71&gt;0,0,SUMPRODUCT((BK$25:BK$124=0)*($B$25:$B$124&gt;=$B71)*($B$25:$B$124&lt;=$B71+ANALYSIS!$G$5)*($C$25:$C$124&gt;=$C71)*($C$25:$C$124&lt;=$C71+ANALYSIS!$G$6)))</f>
        <v>0</v>
      </c>
      <c r="AF71" cm="1">
        <f t="array" ref="AF71">IF(BL71&gt;0,0,SUMPRODUCT((BL$25:BL$124=0)*($B$25:$B$124&gt;=$B71)*($B$25:$B$124&lt;=$B71+ANALYSIS!$G$5)*($C$25:$C$124&gt;=$C71)*($C$25:$C$124&lt;=$C71+ANALYSIS!$G$6)))</f>
        <v>0</v>
      </c>
      <c r="AH71">
        <f>IF(AND(AX71=0,$B71&gt;=R$22,$B71&lt;=R$22+ANALYSIS!$G$5,$C71&gt;=R$23,$C71&lt;=R$23+ANALYSIS!$G$6),1,0)</f>
        <v>0</v>
      </c>
      <c r="AI71">
        <f>IF(AND(AY71=0,$B71&gt;=S$22,$B71&lt;=S$22+ANALYSIS!$G$5,$C71&gt;=S$23,$C71&lt;=S$23+ANALYSIS!$G$6),1,0)</f>
        <v>0</v>
      </c>
      <c r="AJ71">
        <f>IF(AND(AZ71=0,$B71&gt;=T$22,$B71&lt;=T$22+ANALYSIS!$G$5,$C71&gt;=T$23,$C71&lt;=T$23+ANALYSIS!$G$6),1,0)</f>
        <v>0</v>
      </c>
      <c r="AK71">
        <f>IF(AND(BA71=0,$B71&gt;=U$22,$B71&lt;=U$22+ANALYSIS!$G$5,$C71&gt;=U$23,$C71&lt;=U$23+ANALYSIS!$G$6),1,0)</f>
        <v>0</v>
      </c>
      <c r="AL71">
        <f>IF(AND(BB71=0,$B71&gt;=V$22,$B71&lt;=V$22+ANALYSIS!$G$5,$C71&gt;=V$23,$C71&lt;=V$23+ANALYSIS!$G$6),1,0)</f>
        <v>0</v>
      </c>
      <c r="AM71">
        <f>IF(AND(BC71=0,$B71&gt;=W$22,$B71&lt;=W$22+ANALYSIS!$G$5,$C71&gt;=W$23,$C71&lt;=W$23+ANALYSIS!$G$6),1,0)</f>
        <v>0</v>
      </c>
      <c r="AN71">
        <f>IF(AND(BD71=0,$B71&gt;=X$22,$B71&lt;=X$22+ANALYSIS!$G$5,$C71&gt;=X$23,$C71&lt;=X$23+ANALYSIS!$G$6),1,0)</f>
        <v>0</v>
      </c>
      <c r="AO71">
        <f>IF(AND(BE71=0,$B71&gt;=Y$22,$B71&lt;=Y$22+ANALYSIS!$G$5,$C71&gt;=Y$23,$C71&lt;=Y$23+ANALYSIS!$G$6),1,0)</f>
        <v>0</v>
      </c>
      <c r="AP71">
        <f>IF(AND(BF71=0,$B71&gt;=Z$22,$B71&lt;=Z$22+ANALYSIS!$G$5,$C71&gt;=Z$23,$C71&lt;=Z$23+ANALYSIS!$G$6),1,0)</f>
        <v>0</v>
      </c>
      <c r="AQ71">
        <f>IF(AND(BG71=0,$B71&gt;=AA$22,$B71&lt;=AA$22+ANALYSIS!$G$5,$C71&gt;=AA$23,$C71&lt;=AA$23+ANALYSIS!$G$6),1,0)</f>
        <v>1</v>
      </c>
      <c r="AR71">
        <f>IF(AND(BH71=0,$B71&gt;=AB$22,$B71&lt;=AB$22+ANALYSIS!$G$5,$C71&gt;=AB$23,$C71&lt;=AB$23+ANALYSIS!$G$6),1,0)</f>
        <v>0</v>
      </c>
      <c r="AS71">
        <f>IF(AND(BI71=0,$B71&gt;=AC$22,$B71&lt;=AC$22+ANALYSIS!$G$5,$C71&gt;=AC$23,$C71&lt;=AC$23+ANALYSIS!$G$6),1,0)</f>
        <v>0</v>
      </c>
      <c r="AT71">
        <f>IF(AND(BJ71=0,$B71&gt;=AD$22,$B71&lt;=AD$22+ANALYSIS!$G$5,$C71&gt;=AD$23,$C71&lt;=AD$23+ANALYSIS!$G$6),1,0)</f>
        <v>0</v>
      </c>
      <c r="AU71">
        <f>IF(AND(BK71=0,$B71&gt;=AE$22,$B71&lt;=AE$22+ANALYSIS!$G$5,$C71&gt;=AE$23,$C71&lt;=AE$23+ANALYSIS!$G$6),1,0)</f>
        <v>0</v>
      </c>
      <c r="AV71">
        <f>IF(AND(BL71=0,$B71&gt;=AF$22,$B71&lt;=AF$22+ANALYSIS!$G$5,$C71&gt;=AF$23,$C71&lt;=AF$23+ANALYSIS!$G$6),1,0)</f>
        <v>0</v>
      </c>
      <c r="AX71">
        <v>0</v>
      </c>
      <c r="AY71">
        <f t="shared" si="13"/>
        <v>0</v>
      </c>
      <c r="AZ71">
        <f t="shared" si="14"/>
        <v>0</v>
      </c>
      <c r="BA71">
        <f t="shared" si="15"/>
        <v>0</v>
      </c>
      <c r="BB71">
        <f t="shared" si="16"/>
        <v>0</v>
      </c>
      <c r="BC71">
        <f t="shared" si="17"/>
        <v>0</v>
      </c>
      <c r="BD71">
        <f t="shared" si="18"/>
        <v>0</v>
      </c>
      <c r="BE71">
        <f t="shared" si="19"/>
        <v>0</v>
      </c>
      <c r="BF71">
        <f t="shared" si="20"/>
        <v>0</v>
      </c>
      <c r="BG71">
        <f t="shared" si="21"/>
        <v>0</v>
      </c>
      <c r="BH71">
        <f t="shared" si="22"/>
        <v>1</v>
      </c>
      <c r="BI71">
        <f t="shared" si="23"/>
        <v>1</v>
      </c>
      <c r="BJ71">
        <f t="shared" si="24"/>
        <v>1</v>
      </c>
      <c r="BK71">
        <f t="shared" si="25"/>
        <v>1</v>
      </c>
      <c r="BL71">
        <f t="shared" si="26"/>
        <v>1</v>
      </c>
      <c r="BM71">
        <f t="shared" si="27"/>
        <v>1</v>
      </c>
    </row>
    <row r="72" spans="1:65" x14ac:dyDescent="0.25">
      <c r="A72" s="41" t="str">
        <f>ANALYSIS!B78</f>
        <v>19-48</v>
      </c>
      <c r="B72" s="41">
        <f>ANALYSIS!E78</f>
        <v>52</v>
      </c>
      <c r="C72" s="41">
        <f>ANALYSIS!G78</f>
        <v>23.02</v>
      </c>
      <c r="D72" s="41">
        <f t="shared" si="12"/>
        <v>8</v>
      </c>
      <c r="R72" cm="1">
        <f t="array" ref="R72">IF(AX72&gt;0,0,SUMPRODUCT((AX$25:AX$124=0)*($B$25:$B$124&gt;=$B72)*($B$25:$B$124&lt;=$B72+ANALYSIS!$G$5)*($C$25:$C$124&gt;=$C72)*($C$25:$C$124&lt;=$C72+ANALYSIS!$G$6)))</f>
        <v>9</v>
      </c>
      <c r="S72" cm="1">
        <f t="array" ref="S72">IF(AY72&gt;0,0,SUMPRODUCT((AY$25:AY$124=0)*($B$25:$B$124&gt;=$B72)*($B$25:$B$124&lt;=$B72+ANALYSIS!$G$5)*($C$25:$C$124&gt;=$C72)*($C$25:$C$124&lt;=$C72+ANALYSIS!$G$6)))</f>
        <v>9</v>
      </c>
      <c r="T72" cm="1">
        <f t="array" ref="T72">IF(AZ72&gt;0,0,SUMPRODUCT((AZ$25:AZ$124=0)*($B$25:$B$124&gt;=$B72)*($B$25:$B$124&lt;=$B72+ANALYSIS!$G$5)*($C$25:$C$124&gt;=$C72)*($C$25:$C$124&lt;=$C72+ANALYSIS!$G$6)))</f>
        <v>3</v>
      </c>
      <c r="U72" cm="1">
        <f t="array" ref="U72">IF(BA72&gt;0,0,SUMPRODUCT((BA$25:BA$124=0)*($B$25:$B$124&gt;=$B72)*($B$25:$B$124&lt;=$B72+ANALYSIS!$G$5)*($C$25:$C$124&gt;=$C72)*($C$25:$C$124&lt;=$C72+ANALYSIS!$G$6)))</f>
        <v>3</v>
      </c>
      <c r="V72" cm="1">
        <f t="array" ref="V72">IF(BB72&gt;0,0,SUMPRODUCT((BB$25:BB$124=0)*($B$25:$B$124&gt;=$B72)*($B$25:$B$124&lt;=$B72+ANALYSIS!$G$5)*($C$25:$C$124&gt;=$C72)*($C$25:$C$124&lt;=$C72+ANALYSIS!$G$6)))</f>
        <v>3</v>
      </c>
      <c r="W72" cm="1">
        <f t="array" ref="W72">IF(BC72&gt;0,0,SUMPRODUCT((BC$25:BC$124=0)*($B$25:$B$124&gt;=$B72)*($B$25:$B$124&lt;=$B72+ANALYSIS!$G$5)*($C$25:$C$124&gt;=$C72)*($C$25:$C$124&lt;=$C72+ANALYSIS!$G$6)))</f>
        <v>3</v>
      </c>
      <c r="X72" cm="1">
        <f t="array" ref="X72">IF(BD72&gt;0,0,SUMPRODUCT((BD$25:BD$124=0)*($B$25:$B$124&gt;=$B72)*($B$25:$B$124&lt;=$B72+ANALYSIS!$G$5)*($C$25:$C$124&gt;=$C72)*($C$25:$C$124&lt;=$C72+ANALYSIS!$G$6)))</f>
        <v>2</v>
      </c>
      <c r="Y72" cm="1">
        <f t="array" ref="Y72">IF(BE72&gt;0,0,SUMPRODUCT((BE$25:BE$124=0)*($B$25:$B$124&gt;=$B72)*($B$25:$B$124&lt;=$B72+ANALYSIS!$G$5)*($C$25:$C$124&gt;=$C72)*($C$25:$C$124&lt;=$C72+ANALYSIS!$G$6)))</f>
        <v>2</v>
      </c>
      <c r="Z72" cm="1">
        <f t="array" ref="Z72">IF(BF72&gt;0,0,SUMPRODUCT((BF$25:BF$124=0)*($B$25:$B$124&gt;=$B72)*($B$25:$B$124&lt;=$B72+ANALYSIS!$G$5)*($C$25:$C$124&gt;=$C72)*($C$25:$C$124&lt;=$C72+ANALYSIS!$G$6)))</f>
        <v>0</v>
      </c>
      <c r="AA72" cm="1">
        <f t="array" ref="AA72">IF(BG72&gt;0,0,SUMPRODUCT((BG$25:BG$124=0)*($B$25:$B$124&gt;=$B72)*($B$25:$B$124&lt;=$B72+ANALYSIS!$G$5)*($C$25:$C$124&gt;=$C72)*($C$25:$C$124&lt;=$C72+ANALYSIS!$G$6)))</f>
        <v>0</v>
      </c>
      <c r="AB72" cm="1">
        <f t="array" ref="AB72">IF(BH72&gt;0,0,SUMPRODUCT((BH$25:BH$124=0)*($B$25:$B$124&gt;=$B72)*($B$25:$B$124&lt;=$B72+ANALYSIS!$G$5)*($C$25:$C$124&gt;=$C72)*($C$25:$C$124&lt;=$C72+ANALYSIS!$G$6)))</f>
        <v>0</v>
      </c>
      <c r="AC72" cm="1">
        <f t="array" ref="AC72">IF(BI72&gt;0,0,SUMPRODUCT((BI$25:BI$124=0)*($B$25:$B$124&gt;=$B72)*($B$25:$B$124&lt;=$B72+ANALYSIS!$G$5)*($C$25:$C$124&gt;=$C72)*($C$25:$C$124&lt;=$C72+ANALYSIS!$G$6)))</f>
        <v>0</v>
      </c>
      <c r="AD72" cm="1">
        <f t="array" ref="AD72">IF(BJ72&gt;0,0,SUMPRODUCT((BJ$25:BJ$124=0)*($B$25:$B$124&gt;=$B72)*($B$25:$B$124&lt;=$B72+ANALYSIS!$G$5)*($C$25:$C$124&gt;=$C72)*($C$25:$C$124&lt;=$C72+ANALYSIS!$G$6)))</f>
        <v>0</v>
      </c>
      <c r="AE72" cm="1">
        <f t="array" ref="AE72">IF(BK72&gt;0,0,SUMPRODUCT((BK$25:BK$124=0)*($B$25:$B$124&gt;=$B72)*($B$25:$B$124&lt;=$B72+ANALYSIS!$G$5)*($C$25:$C$124&gt;=$C72)*($C$25:$C$124&lt;=$C72+ANALYSIS!$G$6)))</f>
        <v>0</v>
      </c>
      <c r="AF72" cm="1">
        <f t="array" ref="AF72">IF(BL72&gt;0,0,SUMPRODUCT((BL$25:BL$124=0)*($B$25:$B$124&gt;=$B72)*($B$25:$B$124&lt;=$B72+ANALYSIS!$G$5)*($C$25:$C$124&gt;=$C72)*($C$25:$C$124&lt;=$C72+ANALYSIS!$G$6)))</f>
        <v>0</v>
      </c>
      <c r="AH72">
        <f>IF(AND(AX72=0,$B72&gt;=R$22,$B72&lt;=R$22+ANALYSIS!$G$5,$C72&gt;=R$23,$C72&lt;=R$23+ANALYSIS!$G$6),1,0)</f>
        <v>0</v>
      </c>
      <c r="AI72">
        <f>IF(AND(AY72=0,$B72&gt;=S$22,$B72&lt;=S$22+ANALYSIS!$G$5,$C72&gt;=S$23,$C72&lt;=S$23+ANALYSIS!$G$6),1,0)</f>
        <v>0</v>
      </c>
      <c r="AJ72">
        <f>IF(AND(AZ72=0,$B72&gt;=T$22,$B72&lt;=T$22+ANALYSIS!$G$5,$C72&gt;=T$23,$C72&lt;=T$23+ANALYSIS!$G$6),1,0)</f>
        <v>0</v>
      </c>
      <c r="AK72">
        <f>IF(AND(BA72=0,$B72&gt;=U$22,$B72&lt;=U$22+ANALYSIS!$G$5,$C72&gt;=U$23,$C72&lt;=U$23+ANALYSIS!$G$6),1,0)</f>
        <v>0</v>
      </c>
      <c r="AL72">
        <f>IF(AND(BB72=0,$B72&gt;=V$22,$B72&lt;=V$22+ANALYSIS!$G$5,$C72&gt;=V$23,$C72&lt;=V$23+ANALYSIS!$G$6),1,0)</f>
        <v>0</v>
      </c>
      <c r="AM72">
        <f>IF(AND(BC72=0,$B72&gt;=W$22,$B72&lt;=W$22+ANALYSIS!$G$5,$C72&gt;=W$23,$C72&lt;=W$23+ANALYSIS!$G$6),1,0)</f>
        <v>0</v>
      </c>
      <c r="AN72">
        <f>IF(AND(BD72=0,$B72&gt;=X$22,$B72&lt;=X$22+ANALYSIS!$G$5,$C72&gt;=X$23,$C72&lt;=X$23+ANALYSIS!$G$6),1,0)</f>
        <v>0</v>
      </c>
      <c r="AO72">
        <f>IF(AND(BE72=0,$B72&gt;=Y$22,$B72&lt;=Y$22+ANALYSIS!$G$5,$C72&gt;=Y$23,$C72&lt;=Y$23+ANALYSIS!$G$6),1,0)</f>
        <v>1</v>
      </c>
      <c r="AP72">
        <f>IF(AND(BF72=0,$B72&gt;=Z$22,$B72&lt;=Z$22+ANALYSIS!$G$5,$C72&gt;=Z$23,$C72&lt;=Z$23+ANALYSIS!$G$6),1,0)</f>
        <v>0</v>
      </c>
      <c r="AQ72">
        <f>IF(AND(BG72=0,$B72&gt;=AA$22,$B72&lt;=AA$22+ANALYSIS!$G$5,$C72&gt;=AA$23,$C72&lt;=AA$23+ANALYSIS!$G$6),1,0)</f>
        <v>0</v>
      </c>
      <c r="AR72">
        <f>IF(AND(BH72=0,$B72&gt;=AB$22,$B72&lt;=AB$22+ANALYSIS!$G$5,$C72&gt;=AB$23,$C72&lt;=AB$23+ANALYSIS!$G$6),1,0)</f>
        <v>0</v>
      </c>
      <c r="AS72">
        <f>IF(AND(BI72=0,$B72&gt;=AC$22,$B72&lt;=AC$22+ANALYSIS!$G$5,$C72&gt;=AC$23,$C72&lt;=AC$23+ANALYSIS!$G$6),1,0)</f>
        <v>0</v>
      </c>
      <c r="AT72">
        <f>IF(AND(BJ72=0,$B72&gt;=AD$22,$B72&lt;=AD$22+ANALYSIS!$G$5,$C72&gt;=AD$23,$C72&lt;=AD$23+ANALYSIS!$G$6),1,0)</f>
        <v>0</v>
      </c>
      <c r="AU72">
        <f>IF(AND(BK72=0,$B72&gt;=AE$22,$B72&lt;=AE$22+ANALYSIS!$G$5,$C72&gt;=AE$23,$C72&lt;=AE$23+ANALYSIS!$G$6),1,0)</f>
        <v>0</v>
      </c>
      <c r="AV72">
        <f>IF(AND(BL72=0,$B72&gt;=AF$22,$B72&lt;=AF$22+ANALYSIS!$G$5,$C72&gt;=AF$23,$C72&lt;=AF$23+ANALYSIS!$G$6),1,0)</f>
        <v>0</v>
      </c>
      <c r="AX72">
        <v>0</v>
      </c>
      <c r="AY72">
        <f t="shared" si="13"/>
        <v>0</v>
      </c>
      <c r="AZ72">
        <f t="shared" si="14"/>
        <v>0</v>
      </c>
      <c r="BA72">
        <f t="shared" si="15"/>
        <v>0</v>
      </c>
      <c r="BB72">
        <f t="shared" si="16"/>
        <v>0</v>
      </c>
      <c r="BC72">
        <f t="shared" si="17"/>
        <v>0</v>
      </c>
      <c r="BD72">
        <f t="shared" si="18"/>
        <v>0</v>
      </c>
      <c r="BE72">
        <f t="shared" si="19"/>
        <v>0</v>
      </c>
      <c r="BF72">
        <f t="shared" si="20"/>
        <v>1</v>
      </c>
      <c r="BG72">
        <f t="shared" si="21"/>
        <v>1</v>
      </c>
      <c r="BH72">
        <f t="shared" si="22"/>
        <v>1</v>
      </c>
      <c r="BI72">
        <f t="shared" si="23"/>
        <v>1</v>
      </c>
      <c r="BJ72">
        <f t="shared" si="24"/>
        <v>1</v>
      </c>
      <c r="BK72">
        <f t="shared" si="25"/>
        <v>1</v>
      </c>
      <c r="BL72">
        <f t="shared" si="26"/>
        <v>1</v>
      </c>
      <c r="BM72">
        <f t="shared" si="27"/>
        <v>1</v>
      </c>
    </row>
    <row r="73" spans="1:65" x14ac:dyDescent="0.25">
      <c r="A73" s="41" t="str">
        <f>ANALYSIS!B79</f>
        <v>19-49</v>
      </c>
      <c r="B73" s="41">
        <f>ANALYSIS!E79</f>
        <v>55</v>
      </c>
      <c r="C73" s="41">
        <f>ANALYSIS!G79</f>
        <v>25.9</v>
      </c>
      <c r="D73" s="41" t="str">
        <f t="shared" si="12"/>
        <v/>
      </c>
      <c r="R73" cm="1">
        <f t="array" ref="R73">IF(AX73&gt;0,0,SUMPRODUCT((AX$25:AX$124=0)*($B$25:$B$124&gt;=$B73)*($B$25:$B$124&lt;=$B73+ANALYSIS!$G$5)*($C$25:$C$124&gt;=$C73)*($C$25:$C$124&lt;=$C73+ANALYSIS!$G$6)))</f>
        <v>2</v>
      </c>
      <c r="S73" cm="1">
        <f t="array" ref="S73">IF(AY73&gt;0,0,SUMPRODUCT((AY$25:AY$124=0)*($B$25:$B$124&gt;=$B73)*($B$25:$B$124&lt;=$B73+ANALYSIS!$G$5)*($C$25:$C$124&gt;=$C73)*($C$25:$C$124&lt;=$C73+ANALYSIS!$G$6)))</f>
        <v>2</v>
      </c>
      <c r="T73" cm="1">
        <f t="array" ref="T73">IF(AZ73&gt;0,0,SUMPRODUCT((AZ$25:AZ$124=0)*($B$25:$B$124&gt;=$B73)*($B$25:$B$124&lt;=$B73+ANALYSIS!$G$5)*($C$25:$C$124&gt;=$C73)*($C$25:$C$124&lt;=$C73+ANALYSIS!$G$6)))</f>
        <v>2</v>
      </c>
      <c r="U73" cm="1">
        <f t="array" ref="U73">IF(BA73&gt;0,0,SUMPRODUCT((BA$25:BA$124=0)*($B$25:$B$124&gt;=$B73)*($B$25:$B$124&lt;=$B73+ANALYSIS!$G$5)*($C$25:$C$124&gt;=$C73)*($C$25:$C$124&lt;=$C73+ANALYSIS!$G$6)))</f>
        <v>2</v>
      </c>
      <c r="V73" cm="1">
        <f t="array" ref="V73">IF(BB73&gt;0,0,SUMPRODUCT((BB$25:BB$124=0)*($B$25:$B$124&gt;=$B73)*($B$25:$B$124&lt;=$B73+ANALYSIS!$G$5)*($C$25:$C$124&gt;=$C73)*($C$25:$C$124&lt;=$C73+ANALYSIS!$G$6)))</f>
        <v>2</v>
      </c>
      <c r="W73" cm="1">
        <f t="array" ref="W73">IF(BC73&gt;0,0,SUMPRODUCT((BC$25:BC$124=0)*($B$25:$B$124&gt;=$B73)*($B$25:$B$124&lt;=$B73+ANALYSIS!$G$5)*($C$25:$C$124&gt;=$C73)*($C$25:$C$124&lt;=$C73+ANALYSIS!$G$6)))</f>
        <v>2</v>
      </c>
      <c r="X73" cm="1">
        <f t="array" ref="X73">IF(BD73&gt;0,0,SUMPRODUCT((BD$25:BD$124=0)*($B$25:$B$124&gt;=$B73)*($B$25:$B$124&lt;=$B73+ANALYSIS!$G$5)*($C$25:$C$124&gt;=$C73)*($C$25:$C$124&lt;=$C73+ANALYSIS!$G$6)))</f>
        <v>2</v>
      </c>
      <c r="Y73" cm="1">
        <f t="array" ref="Y73">IF(BE73&gt;0,0,SUMPRODUCT((BE$25:BE$124=0)*($B$25:$B$124&gt;=$B73)*($B$25:$B$124&lt;=$B73+ANALYSIS!$G$5)*($C$25:$C$124&gt;=$C73)*($C$25:$C$124&lt;=$C73+ANALYSIS!$G$6)))</f>
        <v>2</v>
      </c>
      <c r="Z73" cm="1">
        <f t="array" ref="Z73">IF(BF73&gt;0,0,SUMPRODUCT((BF$25:BF$124=0)*($B$25:$B$124&gt;=$B73)*($B$25:$B$124&lt;=$B73+ANALYSIS!$G$5)*($C$25:$C$124&gt;=$C73)*($C$25:$C$124&lt;=$C73+ANALYSIS!$G$6)))</f>
        <v>2</v>
      </c>
      <c r="AA73" cm="1">
        <f t="array" ref="AA73">IF(BG73&gt;0,0,SUMPRODUCT((BG$25:BG$124=0)*($B$25:$B$124&gt;=$B73)*($B$25:$B$124&lt;=$B73+ANALYSIS!$G$5)*($C$25:$C$124&gt;=$C73)*($C$25:$C$124&lt;=$C73+ANALYSIS!$G$6)))</f>
        <v>2</v>
      </c>
      <c r="AB73" cm="1">
        <f t="array" ref="AB73">IF(BH73&gt;0,0,SUMPRODUCT((BH$25:BH$124=0)*($B$25:$B$124&gt;=$B73)*($B$25:$B$124&lt;=$B73+ANALYSIS!$G$5)*($C$25:$C$124&gt;=$C73)*($C$25:$C$124&lt;=$C73+ANALYSIS!$G$6)))</f>
        <v>2</v>
      </c>
      <c r="AC73" cm="1">
        <f t="array" ref="AC73">IF(BI73&gt;0,0,SUMPRODUCT((BI$25:BI$124=0)*($B$25:$B$124&gt;=$B73)*($B$25:$B$124&lt;=$B73+ANALYSIS!$G$5)*($C$25:$C$124&gt;=$C73)*($C$25:$C$124&lt;=$C73+ANALYSIS!$G$6)))</f>
        <v>1</v>
      </c>
      <c r="AD73" cm="1">
        <f t="array" ref="AD73">IF(BJ73&gt;0,0,SUMPRODUCT((BJ$25:BJ$124=0)*($B$25:$B$124&gt;=$B73)*($B$25:$B$124&lt;=$B73+ANALYSIS!$G$5)*($C$25:$C$124&gt;=$C73)*($C$25:$C$124&lt;=$C73+ANALYSIS!$G$6)))</f>
        <v>1</v>
      </c>
      <c r="AE73" cm="1">
        <f t="array" ref="AE73">IF(BK73&gt;0,0,SUMPRODUCT((BK$25:BK$124=0)*($B$25:$B$124&gt;=$B73)*($B$25:$B$124&lt;=$B73+ANALYSIS!$G$5)*($C$25:$C$124&gt;=$C73)*($C$25:$C$124&lt;=$C73+ANALYSIS!$G$6)))</f>
        <v>1</v>
      </c>
      <c r="AF73" cm="1">
        <f t="array" ref="AF73">IF(BL73&gt;0,0,SUMPRODUCT((BL$25:BL$124=0)*($B$25:$B$124&gt;=$B73)*($B$25:$B$124&lt;=$B73+ANALYSIS!$G$5)*($C$25:$C$124&gt;=$C73)*($C$25:$C$124&lt;=$C73+ANALYSIS!$G$6)))</f>
        <v>1</v>
      </c>
      <c r="AH73">
        <f>IF(AND(AX73=0,$B73&gt;=R$22,$B73&lt;=R$22+ANALYSIS!$G$5,$C73&gt;=R$23,$C73&lt;=R$23+ANALYSIS!$G$6),1,0)</f>
        <v>0</v>
      </c>
      <c r="AI73">
        <f>IF(AND(AY73=0,$B73&gt;=S$22,$B73&lt;=S$22+ANALYSIS!$G$5,$C73&gt;=S$23,$C73&lt;=S$23+ANALYSIS!$G$6),1,0)</f>
        <v>0</v>
      </c>
      <c r="AJ73">
        <f>IF(AND(AZ73=0,$B73&gt;=T$22,$B73&lt;=T$22+ANALYSIS!$G$5,$C73&gt;=T$23,$C73&lt;=T$23+ANALYSIS!$G$6),1,0)</f>
        <v>0</v>
      </c>
      <c r="AK73">
        <f>IF(AND(BA73=0,$B73&gt;=U$22,$B73&lt;=U$22+ANALYSIS!$G$5,$C73&gt;=U$23,$C73&lt;=U$23+ANALYSIS!$G$6),1,0)</f>
        <v>0</v>
      </c>
      <c r="AL73">
        <f>IF(AND(BB73=0,$B73&gt;=V$22,$B73&lt;=V$22+ANALYSIS!$G$5,$C73&gt;=V$23,$C73&lt;=V$23+ANALYSIS!$G$6),1,0)</f>
        <v>0</v>
      </c>
      <c r="AM73">
        <f>IF(AND(BC73=0,$B73&gt;=W$22,$B73&lt;=W$22+ANALYSIS!$G$5,$C73&gt;=W$23,$C73&lt;=W$23+ANALYSIS!$G$6),1,0)</f>
        <v>0</v>
      </c>
      <c r="AN73">
        <f>IF(AND(BD73=0,$B73&gt;=X$22,$B73&lt;=X$22+ANALYSIS!$G$5,$C73&gt;=X$23,$C73&lt;=X$23+ANALYSIS!$G$6),1,0)</f>
        <v>0</v>
      </c>
      <c r="AO73">
        <f>IF(AND(BE73=0,$B73&gt;=Y$22,$B73&lt;=Y$22+ANALYSIS!$G$5,$C73&gt;=Y$23,$C73&lt;=Y$23+ANALYSIS!$G$6),1,0)</f>
        <v>0</v>
      </c>
      <c r="AP73">
        <f>IF(AND(BF73=0,$B73&gt;=Z$22,$B73&lt;=Z$22+ANALYSIS!$G$5,$C73&gt;=Z$23,$C73&lt;=Z$23+ANALYSIS!$G$6),1,0)</f>
        <v>0</v>
      </c>
      <c r="AQ73">
        <f>IF(AND(BG73=0,$B73&gt;=AA$22,$B73&lt;=AA$22+ANALYSIS!$G$5,$C73&gt;=AA$23,$C73&lt;=AA$23+ANALYSIS!$G$6),1,0)</f>
        <v>0</v>
      </c>
      <c r="AR73">
        <f>IF(AND(BH73=0,$B73&gt;=AB$22,$B73&lt;=AB$22+ANALYSIS!$G$5,$C73&gt;=AB$23,$C73&lt;=AB$23+ANALYSIS!$G$6),1,0)</f>
        <v>0</v>
      </c>
      <c r="AS73">
        <f>IF(AND(BI73=0,$B73&gt;=AC$22,$B73&lt;=AC$22+ANALYSIS!$G$5,$C73&gt;=AC$23,$C73&lt;=AC$23+ANALYSIS!$G$6),1,0)</f>
        <v>0</v>
      </c>
      <c r="AT73">
        <f>IF(AND(BJ73=0,$B73&gt;=AD$22,$B73&lt;=AD$22+ANALYSIS!$G$5,$C73&gt;=AD$23,$C73&lt;=AD$23+ANALYSIS!$G$6),1,0)</f>
        <v>0</v>
      </c>
      <c r="AU73">
        <f>IF(AND(BK73=0,$B73&gt;=AE$22,$B73&lt;=AE$22+ANALYSIS!$G$5,$C73&gt;=AE$23,$C73&lt;=AE$23+ANALYSIS!$G$6),1,0)</f>
        <v>0</v>
      </c>
      <c r="AV73">
        <f>IF(AND(BL73=0,$B73&gt;=AF$22,$B73&lt;=AF$22+ANALYSIS!$G$5,$C73&gt;=AF$23,$C73&lt;=AF$23+ANALYSIS!$G$6),1,0)</f>
        <v>0</v>
      </c>
      <c r="AX73">
        <v>0</v>
      </c>
      <c r="AY73">
        <f t="shared" si="13"/>
        <v>0</v>
      </c>
      <c r="AZ73">
        <f t="shared" si="14"/>
        <v>0</v>
      </c>
      <c r="BA73">
        <f t="shared" si="15"/>
        <v>0</v>
      </c>
      <c r="BB73">
        <f t="shared" si="16"/>
        <v>0</v>
      </c>
      <c r="BC73">
        <f t="shared" si="17"/>
        <v>0</v>
      </c>
      <c r="BD73">
        <f t="shared" si="18"/>
        <v>0</v>
      </c>
      <c r="BE73">
        <f t="shared" si="19"/>
        <v>0</v>
      </c>
      <c r="BF73">
        <f t="shared" si="20"/>
        <v>0</v>
      </c>
      <c r="BG73">
        <f t="shared" si="21"/>
        <v>0</v>
      </c>
      <c r="BH73">
        <f t="shared" si="22"/>
        <v>0</v>
      </c>
      <c r="BI73">
        <f t="shared" si="23"/>
        <v>0</v>
      </c>
      <c r="BJ73">
        <f t="shared" si="24"/>
        <v>0</v>
      </c>
      <c r="BK73">
        <f t="shared" si="25"/>
        <v>0</v>
      </c>
      <c r="BL73">
        <f t="shared" si="26"/>
        <v>0</v>
      </c>
      <c r="BM73">
        <f t="shared" si="27"/>
        <v>0</v>
      </c>
    </row>
    <row r="74" spans="1:65" x14ac:dyDescent="0.25">
      <c r="A74" s="41" t="str">
        <f>ANALYSIS!B80</f>
        <v>19-50</v>
      </c>
      <c r="B74" s="41">
        <f>ANALYSIS!E80</f>
        <v>56</v>
      </c>
      <c r="C74" s="41">
        <f>ANALYSIS!G80</f>
        <v>25.15</v>
      </c>
      <c r="D74" s="41">
        <f t="shared" si="12"/>
        <v>3</v>
      </c>
      <c r="R74" cm="1">
        <f t="array" ref="R74">IF(AX74&gt;0,0,SUMPRODUCT((AX$25:AX$124=0)*($B$25:$B$124&gt;=$B74)*($B$25:$B$124&lt;=$B74+ANALYSIS!$G$5)*($C$25:$C$124&gt;=$C74)*($C$25:$C$124&lt;=$C74+ANALYSIS!$G$6)))</f>
        <v>7</v>
      </c>
      <c r="S74" cm="1">
        <f t="array" ref="S74">IF(AY74&gt;0,0,SUMPRODUCT((AY$25:AY$124=0)*($B$25:$B$124&gt;=$B74)*($B$25:$B$124&lt;=$B74+ANALYSIS!$G$5)*($C$25:$C$124&gt;=$C74)*($C$25:$C$124&lt;=$C74+ANALYSIS!$G$6)))</f>
        <v>7</v>
      </c>
      <c r="T74" cm="1">
        <f t="array" ref="T74">IF(AZ74&gt;0,0,SUMPRODUCT((AZ$25:AZ$124=0)*($B$25:$B$124&gt;=$B74)*($B$25:$B$124&lt;=$B74+ANALYSIS!$G$5)*($C$25:$C$124&gt;=$C74)*($C$25:$C$124&lt;=$C74+ANALYSIS!$G$6)))</f>
        <v>7</v>
      </c>
      <c r="U74" cm="1">
        <f t="array" ref="U74">IF(BA74&gt;0,0,SUMPRODUCT((BA$25:BA$124=0)*($B$25:$B$124&gt;=$B74)*($B$25:$B$124&lt;=$B74+ANALYSIS!$G$5)*($C$25:$C$124&gt;=$C74)*($C$25:$C$124&lt;=$C74+ANALYSIS!$G$6)))</f>
        <v>0</v>
      </c>
      <c r="V74" cm="1">
        <f t="array" ref="V74">IF(BB74&gt;0,0,SUMPRODUCT((BB$25:BB$124=0)*($B$25:$B$124&gt;=$B74)*($B$25:$B$124&lt;=$B74+ANALYSIS!$G$5)*($C$25:$C$124&gt;=$C74)*($C$25:$C$124&lt;=$C74+ANALYSIS!$G$6)))</f>
        <v>0</v>
      </c>
      <c r="W74" cm="1">
        <f t="array" ref="W74">IF(BC74&gt;0,0,SUMPRODUCT((BC$25:BC$124=0)*($B$25:$B$124&gt;=$B74)*($B$25:$B$124&lt;=$B74+ANALYSIS!$G$5)*($C$25:$C$124&gt;=$C74)*($C$25:$C$124&lt;=$C74+ANALYSIS!$G$6)))</f>
        <v>0</v>
      </c>
      <c r="X74" cm="1">
        <f t="array" ref="X74">IF(BD74&gt;0,0,SUMPRODUCT((BD$25:BD$124=0)*($B$25:$B$124&gt;=$B74)*($B$25:$B$124&lt;=$B74+ANALYSIS!$G$5)*($C$25:$C$124&gt;=$C74)*($C$25:$C$124&lt;=$C74+ANALYSIS!$G$6)))</f>
        <v>0</v>
      </c>
      <c r="Y74" cm="1">
        <f t="array" ref="Y74">IF(BE74&gt;0,0,SUMPRODUCT((BE$25:BE$124=0)*($B$25:$B$124&gt;=$B74)*($B$25:$B$124&lt;=$B74+ANALYSIS!$G$5)*($C$25:$C$124&gt;=$C74)*($C$25:$C$124&lt;=$C74+ANALYSIS!$G$6)))</f>
        <v>0</v>
      </c>
      <c r="Z74" cm="1">
        <f t="array" ref="Z74">IF(BF74&gt;0,0,SUMPRODUCT((BF$25:BF$124=0)*($B$25:$B$124&gt;=$B74)*($B$25:$B$124&lt;=$B74+ANALYSIS!$G$5)*($C$25:$C$124&gt;=$C74)*($C$25:$C$124&lt;=$C74+ANALYSIS!$G$6)))</f>
        <v>0</v>
      </c>
      <c r="AA74" cm="1">
        <f t="array" ref="AA74">IF(BG74&gt;0,0,SUMPRODUCT((BG$25:BG$124=0)*($B$25:$B$124&gt;=$B74)*($B$25:$B$124&lt;=$B74+ANALYSIS!$G$5)*($C$25:$C$124&gt;=$C74)*($C$25:$C$124&lt;=$C74+ANALYSIS!$G$6)))</f>
        <v>0</v>
      </c>
      <c r="AB74" cm="1">
        <f t="array" ref="AB74">IF(BH74&gt;0,0,SUMPRODUCT((BH$25:BH$124=0)*($B$25:$B$124&gt;=$B74)*($B$25:$B$124&lt;=$B74+ANALYSIS!$G$5)*($C$25:$C$124&gt;=$C74)*($C$25:$C$124&lt;=$C74+ANALYSIS!$G$6)))</f>
        <v>0</v>
      </c>
      <c r="AC74" cm="1">
        <f t="array" ref="AC74">IF(BI74&gt;0,0,SUMPRODUCT((BI$25:BI$124=0)*($B$25:$B$124&gt;=$B74)*($B$25:$B$124&lt;=$B74+ANALYSIS!$G$5)*($C$25:$C$124&gt;=$C74)*($C$25:$C$124&lt;=$C74+ANALYSIS!$G$6)))</f>
        <v>0</v>
      </c>
      <c r="AD74" cm="1">
        <f t="array" ref="AD74">IF(BJ74&gt;0,0,SUMPRODUCT((BJ$25:BJ$124=0)*($B$25:$B$124&gt;=$B74)*($B$25:$B$124&lt;=$B74+ANALYSIS!$G$5)*($C$25:$C$124&gt;=$C74)*($C$25:$C$124&lt;=$C74+ANALYSIS!$G$6)))</f>
        <v>0</v>
      </c>
      <c r="AE74" cm="1">
        <f t="array" ref="AE74">IF(BK74&gt;0,0,SUMPRODUCT((BK$25:BK$124=0)*($B$25:$B$124&gt;=$B74)*($B$25:$B$124&lt;=$B74+ANALYSIS!$G$5)*($C$25:$C$124&gt;=$C74)*($C$25:$C$124&lt;=$C74+ANALYSIS!$G$6)))</f>
        <v>0</v>
      </c>
      <c r="AF74" cm="1">
        <f t="array" ref="AF74">IF(BL74&gt;0,0,SUMPRODUCT((BL$25:BL$124=0)*($B$25:$B$124&gt;=$B74)*($B$25:$B$124&lt;=$B74+ANALYSIS!$G$5)*($C$25:$C$124&gt;=$C74)*($C$25:$C$124&lt;=$C74+ANALYSIS!$G$6)))</f>
        <v>0</v>
      </c>
      <c r="AH74">
        <f>IF(AND(AX74=0,$B74&gt;=R$22,$B74&lt;=R$22+ANALYSIS!$G$5,$C74&gt;=R$23,$C74&lt;=R$23+ANALYSIS!$G$6),1,0)</f>
        <v>0</v>
      </c>
      <c r="AI74">
        <f>IF(AND(AY74=0,$B74&gt;=S$22,$B74&lt;=S$22+ANALYSIS!$G$5,$C74&gt;=S$23,$C74&lt;=S$23+ANALYSIS!$G$6),1,0)</f>
        <v>0</v>
      </c>
      <c r="AJ74">
        <f>IF(AND(AZ74=0,$B74&gt;=T$22,$B74&lt;=T$22+ANALYSIS!$G$5,$C74&gt;=T$23,$C74&lt;=T$23+ANALYSIS!$G$6),1,0)</f>
        <v>1</v>
      </c>
      <c r="AK74">
        <f>IF(AND(BA74=0,$B74&gt;=U$22,$B74&lt;=U$22+ANALYSIS!$G$5,$C74&gt;=U$23,$C74&lt;=U$23+ANALYSIS!$G$6),1,0)</f>
        <v>0</v>
      </c>
      <c r="AL74">
        <f>IF(AND(BB74=0,$B74&gt;=V$22,$B74&lt;=V$22+ANALYSIS!$G$5,$C74&gt;=V$23,$C74&lt;=V$23+ANALYSIS!$G$6),1,0)</f>
        <v>0</v>
      </c>
      <c r="AM74">
        <f>IF(AND(BC74=0,$B74&gt;=W$22,$B74&lt;=W$22+ANALYSIS!$G$5,$C74&gt;=W$23,$C74&lt;=W$23+ANALYSIS!$G$6),1,0)</f>
        <v>0</v>
      </c>
      <c r="AN74">
        <f>IF(AND(BD74=0,$B74&gt;=X$22,$B74&lt;=X$22+ANALYSIS!$G$5,$C74&gt;=X$23,$C74&lt;=X$23+ANALYSIS!$G$6),1,0)</f>
        <v>0</v>
      </c>
      <c r="AO74">
        <f>IF(AND(BE74=0,$B74&gt;=Y$22,$B74&lt;=Y$22+ANALYSIS!$G$5,$C74&gt;=Y$23,$C74&lt;=Y$23+ANALYSIS!$G$6),1,0)</f>
        <v>0</v>
      </c>
      <c r="AP74">
        <f>IF(AND(BF74=0,$B74&gt;=Z$22,$B74&lt;=Z$22+ANALYSIS!$G$5,$C74&gt;=Z$23,$C74&lt;=Z$23+ANALYSIS!$G$6),1,0)</f>
        <v>0</v>
      </c>
      <c r="AQ74">
        <f>IF(AND(BG74=0,$B74&gt;=AA$22,$B74&lt;=AA$22+ANALYSIS!$G$5,$C74&gt;=AA$23,$C74&lt;=AA$23+ANALYSIS!$G$6),1,0)</f>
        <v>0</v>
      </c>
      <c r="AR74">
        <f>IF(AND(BH74=0,$B74&gt;=AB$22,$B74&lt;=AB$22+ANALYSIS!$G$5,$C74&gt;=AB$23,$C74&lt;=AB$23+ANALYSIS!$G$6),1,0)</f>
        <v>0</v>
      </c>
      <c r="AS74">
        <f>IF(AND(BI74=0,$B74&gt;=AC$22,$B74&lt;=AC$22+ANALYSIS!$G$5,$C74&gt;=AC$23,$C74&lt;=AC$23+ANALYSIS!$G$6),1,0)</f>
        <v>0</v>
      </c>
      <c r="AT74">
        <f>IF(AND(BJ74=0,$B74&gt;=AD$22,$B74&lt;=AD$22+ANALYSIS!$G$5,$C74&gt;=AD$23,$C74&lt;=AD$23+ANALYSIS!$G$6),1,0)</f>
        <v>0</v>
      </c>
      <c r="AU74">
        <f>IF(AND(BK74=0,$B74&gt;=AE$22,$B74&lt;=AE$22+ANALYSIS!$G$5,$C74&gt;=AE$23,$C74&lt;=AE$23+ANALYSIS!$G$6),1,0)</f>
        <v>0</v>
      </c>
      <c r="AV74">
        <f>IF(AND(BL74=0,$B74&gt;=AF$22,$B74&lt;=AF$22+ANALYSIS!$G$5,$C74&gt;=AF$23,$C74&lt;=AF$23+ANALYSIS!$G$6),1,0)</f>
        <v>0</v>
      </c>
      <c r="AX74">
        <v>0</v>
      </c>
      <c r="AY74">
        <f t="shared" si="13"/>
        <v>0</v>
      </c>
      <c r="AZ74">
        <f t="shared" si="14"/>
        <v>0</v>
      </c>
      <c r="BA74">
        <f t="shared" si="15"/>
        <v>1</v>
      </c>
      <c r="BB74">
        <f t="shared" si="16"/>
        <v>1</v>
      </c>
      <c r="BC74">
        <f t="shared" si="17"/>
        <v>1</v>
      </c>
      <c r="BD74">
        <f t="shared" si="18"/>
        <v>1</v>
      </c>
      <c r="BE74">
        <f t="shared" si="19"/>
        <v>1</v>
      </c>
      <c r="BF74">
        <f t="shared" si="20"/>
        <v>1</v>
      </c>
      <c r="BG74">
        <f t="shared" si="21"/>
        <v>1</v>
      </c>
      <c r="BH74">
        <f t="shared" si="22"/>
        <v>1</v>
      </c>
      <c r="BI74">
        <f t="shared" si="23"/>
        <v>1</v>
      </c>
      <c r="BJ74">
        <f t="shared" si="24"/>
        <v>1</v>
      </c>
      <c r="BK74">
        <f t="shared" si="25"/>
        <v>1</v>
      </c>
      <c r="BL74">
        <f t="shared" si="26"/>
        <v>1</v>
      </c>
      <c r="BM74">
        <f t="shared" si="27"/>
        <v>1</v>
      </c>
    </row>
    <row r="75" spans="1:65" x14ac:dyDescent="0.25">
      <c r="A75" s="41" t="str">
        <f>ANALYSIS!B81</f>
        <v>20-01</v>
      </c>
      <c r="B75" s="41">
        <f>ANALYSIS!E81</f>
        <v>55.5</v>
      </c>
      <c r="C75" s="41">
        <f>ANALYSIS!G81</f>
        <v>22.76</v>
      </c>
      <c r="D75" s="41">
        <f t="shared" si="12"/>
        <v>7</v>
      </c>
      <c r="R75" cm="1">
        <f t="array" ref="R75">IF(AX75&gt;0,0,SUMPRODUCT((AX$25:AX$124=0)*($B$25:$B$124&gt;=$B75)*($B$25:$B$124&lt;=$B75+ANALYSIS!$G$5)*($C$25:$C$124&gt;=$C75)*($C$25:$C$124&lt;=$C75+ANALYSIS!$G$6)))</f>
        <v>6</v>
      </c>
      <c r="S75" cm="1">
        <f t="array" ref="S75">IF(AY75&gt;0,0,SUMPRODUCT((AY$25:AY$124=0)*($B$25:$B$124&gt;=$B75)*($B$25:$B$124&lt;=$B75+ANALYSIS!$G$5)*($C$25:$C$124&gt;=$C75)*($C$25:$C$124&lt;=$C75+ANALYSIS!$G$6)))</f>
        <v>6</v>
      </c>
      <c r="T75" cm="1">
        <f t="array" ref="T75">IF(AZ75&gt;0,0,SUMPRODUCT((AZ$25:AZ$124=0)*($B$25:$B$124&gt;=$B75)*($B$25:$B$124&lt;=$B75+ANALYSIS!$G$5)*($C$25:$C$124&gt;=$C75)*($C$25:$C$124&lt;=$C75+ANALYSIS!$G$6)))</f>
        <v>4</v>
      </c>
      <c r="U75" cm="1">
        <f t="array" ref="U75">IF(BA75&gt;0,0,SUMPRODUCT((BA$25:BA$124=0)*($B$25:$B$124&gt;=$B75)*($B$25:$B$124&lt;=$B75+ANALYSIS!$G$5)*($C$25:$C$124&gt;=$C75)*($C$25:$C$124&lt;=$C75+ANALYSIS!$G$6)))</f>
        <v>4</v>
      </c>
      <c r="V75" cm="1">
        <f t="array" ref="V75">IF(BB75&gt;0,0,SUMPRODUCT((BB$25:BB$124=0)*($B$25:$B$124&gt;=$B75)*($B$25:$B$124&lt;=$B75+ANALYSIS!$G$5)*($C$25:$C$124&gt;=$C75)*($C$25:$C$124&lt;=$C75+ANALYSIS!$G$6)))</f>
        <v>4</v>
      </c>
      <c r="W75" cm="1">
        <f t="array" ref="W75">IF(BC75&gt;0,0,SUMPRODUCT((BC$25:BC$124=0)*($B$25:$B$124&gt;=$B75)*($B$25:$B$124&lt;=$B75+ANALYSIS!$G$5)*($C$25:$C$124&gt;=$C75)*($C$25:$C$124&lt;=$C75+ANALYSIS!$G$6)))</f>
        <v>4</v>
      </c>
      <c r="X75" cm="1">
        <f t="array" ref="X75">IF(BD75&gt;0,0,SUMPRODUCT((BD$25:BD$124=0)*($B$25:$B$124&gt;=$B75)*($B$25:$B$124&lt;=$B75+ANALYSIS!$G$5)*($C$25:$C$124&gt;=$C75)*($C$25:$C$124&lt;=$C75+ANALYSIS!$G$6)))</f>
        <v>4</v>
      </c>
      <c r="Y75" cm="1">
        <f t="array" ref="Y75">IF(BE75&gt;0,0,SUMPRODUCT((BE$25:BE$124=0)*($B$25:$B$124&gt;=$B75)*($B$25:$B$124&lt;=$B75+ANALYSIS!$G$5)*($C$25:$C$124&gt;=$C75)*($C$25:$C$124&lt;=$C75+ANALYSIS!$G$6)))</f>
        <v>0</v>
      </c>
      <c r="Z75" cm="1">
        <f t="array" ref="Z75">IF(BF75&gt;0,0,SUMPRODUCT((BF$25:BF$124=0)*($B$25:$B$124&gt;=$B75)*($B$25:$B$124&lt;=$B75+ANALYSIS!$G$5)*($C$25:$C$124&gt;=$C75)*($C$25:$C$124&lt;=$C75+ANALYSIS!$G$6)))</f>
        <v>0</v>
      </c>
      <c r="AA75" cm="1">
        <f t="array" ref="AA75">IF(BG75&gt;0,0,SUMPRODUCT((BG$25:BG$124=0)*($B$25:$B$124&gt;=$B75)*($B$25:$B$124&lt;=$B75+ANALYSIS!$G$5)*($C$25:$C$124&gt;=$C75)*($C$25:$C$124&lt;=$C75+ANALYSIS!$G$6)))</f>
        <v>0</v>
      </c>
      <c r="AB75" cm="1">
        <f t="array" ref="AB75">IF(BH75&gt;0,0,SUMPRODUCT((BH$25:BH$124=0)*($B$25:$B$124&gt;=$B75)*($B$25:$B$124&lt;=$B75+ANALYSIS!$G$5)*($C$25:$C$124&gt;=$C75)*($C$25:$C$124&lt;=$C75+ANALYSIS!$G$6)))</f>
        <v>0</v>
      </c>
      <c r="AC75" cm="1">
        <f t="array" ref="AC75">IF(BI75&gt;0,0,SUMPRODUCT((BI$25:BI$124=0)*($B$25:$B$124&gt;=$B75)*($B$25:$B$124&lt;=$B75+ANALYSIS!$G$5)*($C$25:$C$124&gt;=$C75)*($C$25:$C$124&lt;=$C75+ANALYSIS!$G$6)))</f>
        <v>0</v>
      </c>
      <c r="AD75" cm="1">
        <f t="array" ref="AD75">IF(BJ75&gt;0,0,SUMPRODUCT((BJ$25:BJ$124=0)*($B$25:$B$124&gt;=$B75)*($B$25:$B$124&lt;=$B75+ANALYSIS!$G$5)*($C$25:$C$124&gt;=$C75)*($C$25:$C$124&lt;=$C75+ANALYSIS!$G$6)))</f>
        <v>0</v>
      </c>
      <c r="AE75" cm="1">
        <f t="array" ref="AE75">IF(BK75&gt;0,0,SUMPRODUCT((BK$25:BK$124=0)*($B$25:$B$124&gt;=$B75)*($B$25:$B$124&lt;=$B75+ANALYSIS!$G$5)*($C$25:$C$124&gt;=$C75)*($C$25:$C$124&lt;=$C75+ANALYSIS!$G$6)))</f>
        <v>0</v>
      </c>
      <c r="AF75" cm="1">
        <f t="array" ref="AF75">IF(BL75&gt;0,0,SUMPRODUCT((BL$25:BL$124=0)*($B$25:$B$124&gt;=$B75)*($B$25:$B$124&lt;=$B75+ANALYSIS!$G$5)*($C$25:$C$124&gt;=$C75)*($C$25:$C$124&lt;=$C75+ANALYSIS!$G$6)))</f>
        <v>0</v>
      </c>
      <c r="AH75">
        <f>IF(AND(AX75=0,$B75&gt;=R$22,$B75&lt;=R$22+ANALYSIS!$G$5,$C75&gt;=R$23,$C75&lt;=R$23+ANALYSIS!$G$6),1,0)</f>
        <v>0</v>
      </c>
      <c r="AI75">
        <f>IF(AND(AY75=0,$B75&gt;=S$22,$B75&lt;=S$22+ANALYSIS!$G$5,$C75&gt;=S$23,$C75&lt;=S$23+ANALYSIS!$G$6),1,0)</f>
        <v>0</v>
      </c>
      <c r="AJ75">
        <f>IF(AND(AZ75=0,$B75&gt;=T$22,$B75&lt;=T$22+ANALYSIS!$G$5,$C75&gt;=T$23,$C75&lt;=T$23+ANALYSIS!$G$6),1,0)</f>
        <v>0</v>
      </c>
      <c r="AK75">
        <f>IF(AND(BA75=0,$B75&gt;=U$22,$B75&lt;=U$22+ANALYSIS!$G$5,$C75&gt;=U$23,$C75&lt;=U$23+ANALYSIS!$G$6),1,0)</f>
        <v>0</v>
      </c>
      <c r="AL75">
        <f>IF(AND(BB75=0,$B75&gt;=V$22,$B75&lt;=V$22+ANALYSIS!$G$5,$C75&gt;=V$23,$C75&lt;=V$23+ANALYSIS!$G$6),1,0)</f>
        <v>0</v>
      </c>
      <c r="AM75">
        <f>IF(AND(BC75=0,$B75&gt;=W$22,$B75&lt;=W$22+ANALYSIS!$G$5,$C75&gt;=W$23,$C75&lt;=W$23+ANALYSIS!$G$6),1,0)</f>
        <v>0</v>
      </c>
      <c r="AN75">
        <f>IF(AND(BD75=0,$B75&gt;=X$22,$B75&lt;=X$22+ANALYSIS!$G$5,$C75&gt;=X$23,$C75&lt;=X$23+ANALYSIS!$G$6),1,0)</f>
        <v>1</v>
      </c>
      <c r="AO75">
        <f>IF(AND(BE75=0,$B75&gt;=Y$22,$B75&lt;=Y$22+ANALYSIS!$G$5,$C75&gt;=Y$23,$C75&lt;=Y$23+ANALYSIS!$G$6),1,0)</f>
        <v>0</v>
      </c>
      <c r="AP75">
        <f>IF(AND(BF75=0,$B75&gt;=Z$22,$B75&lt;=Z$22+ANALYSIS!$G$5,$C75&gt;=Z$23,$C75&lt;=Z$23+ANALYSIS!$G$6),1,0)</f>
        <v>0</v>
      </c>
      <c r="AQ75">
        <f>IF(AND(BG75=0,$B75&gt;=AA$22,$B75&lt;=AA$22+ANALYSIS!$G$5,$C75&gt;=AA$23,$C75&lt;=AA$23+ANALYSIS!$G$6),1,0)</f>
        <v>0</v>
      </c>
      <c r="AR75">
        <f>IF(AND(BH75=0,$B75&gt;=AB$22,$B75&lt;=AB$22+ANALYSIS!$G$5,$C75&gt;=AB$23,$C75&lt;=AB$23+ANALYSIS!$G$6),1,0)</f>
        <v>0</v>
      </c>
      <c r="AS75">
        <f>IF(AND(BI75=0,$B75&gt;=AC$22,$B75&lt;=AC$22+ANALYSIS!$G$5,$C75&gt;=AC$23,$C75&lt;=AC$23+ANALYSIS!$G$6),1,0)</f>
        <v>0</v>
      </c>
      <c r="AT75">
        <f>IF(AND(BJ75=0,$B75&gt;=AD$22,$B75&lt;=AD$22+ANALYSIS!$G$5,$C75&gt;=AD$23,$C75&lt;=AD$23+ANALYSIS!$G$6),1,0)</f>
        <v>0</v>
      </c>
      <c r="AU75">
        <f>IF(AND(BK75=0,$B75&gt;=AE$22,$B75&lt;=AE$22+ANALYSIS!$G$5,$C75&gt;=AE$23,$C75&lt;=AE$23+ANALYSIS!$G$6),1,0)</f>
        <v>0</v>
      </c>
      <c r="AV75">
        <f>IF(AND(BL75=0,$B75&gt;=AF$22,$B75&lt;=AF$22+ANALYSIS!$G$5,$C75&gt;=AF$23,$C75&lt;=AF$23+ANALYSIS!$G$6),1,0)</f>
        <v>0</v>
      </c>
      <c r="AX75">
        <v>0</v>
      </c>
      <c r="AY75">
        <f t="shared" si="13"/>
        <v>0</v>
      </c>
      <c r="AZ75">
        <f t="shared" si="14"/>
        <v>0</v>
      </c>
      <c r="BA75">
        <f t="shared" si="15"/>
        <v>0</v>
      </c>
      <c r="BB75">
        <f t="shared" si="16"/>
        <v>0</v>
      </c>
      <c r="BC75">
        <f t="shared" si="17"/>
        <v>0</v>
      </c>
      <c r="BD75">
        <f t="shared" si="18"/>
        <v>0</v>
      </c>
      <c r="BE75">
        <f t="shared" si="19"/>
        <v>1</v>
      </c>
      <c r="BF75">
        <f t="shared" si="20"/>
        <v>1</v>
      </c>
      <c r="BG75">
        <f t="shared" si="21"/>
        <v>1</v>
      </c>
      <c r="BH75">
        <f t="shared" si="22"/>
        <v>1</v>
      </c>
      <c r="BI75">
        <f t="shared" si="23"/>
        <v>1</v>
      </c>
      <c r="BJ75">
        <f t="shared" si="24"/>
        <v>1</v>
      </c>
      <c r="BK75">
        <f t="shared" si="25"/>
        <v>1</v>
      </c>
      <c r="BL75">
        <f t="shared" si="26"/>
        <v>1</v>
      </c>
      <c r="BM75">
        <f t="shared" si="27"/>
        <v>1</v>
      </c>
    </row>
    <row r="76" spans="1:65" x14ac:dyDescent="0.25">
      <c r="A76" s="41" t="str">
        <f>ANALYSIS!B82</f>
        <v>20-02</v>
      </c>
      <c r="B76" s="41">
        <f>ANALYSIS!E82</f>
        <v>53</v>
      </c>
      <c r="C76" s="41">
        <f>ANALYSIS!G82</f>
        <v>23.03</v>
      </c>
      <c r="D76" s="41">
        <f t="shared" si="12"/>
        <v>2</v>
      </c>
      <c r="R76" cm="1">
        <f t="array" ref="R76">IF(AX76&gt;0,0,SUMPRODUCT((AX$25:AX$124=0)*($B$25:$B$124&gt;=$B76)*($B$25:$B$124&lt;=$B76+ANALYSIS!$G$5)*($C$25:$C$124&gt;=$C76)*($C$25:$C$124&lt;=$C76+ANALYSIS!$G$6)))</f>
        <v>11</v>
      </c>
      <c r="S76" cm="1">
        <f t="array" ref="S76">IF(AY76&gt;0,0,SUMPRODUCT((AY$25:AY$124=0)*($B$25:$B$124&gt;=$B76)*($B$25:$B$124&lt;=$B76+ANALYSIS!$G$5)*($C$25:$C$124&gt;=$C76)*($C$25:$C$124&lt;=$C76+ANALYSIS!$G$6)))</f>
        <v>11</v>
      </c>
      <c r="T76" cm="1">
        <f t="array" ref="T76">IF(AZ76&gt;0,0,SUMPRODUCT((AZ$25:AZ$124=0)*($B$25:$B$124&gt;=$B76)*($B$25:$B$124&lt;=$B76+ANALYSIS!$G$5)*($C$25:$C$124&gt;=$C76)*($C$25:$C$124&lt;=$C76+ANALYSIS!$G$6)))</f>
        <v>0</v>
      </c>
      <c r="U76" cm="1">
        <f t="array" ref="U76">IF(BA76&gt;0,0,SUMPRODUCT((BA$25:BA$124=0)*($B$25:$B$124&gt;=$B76)*($B$25:$B$124&lt;=$B76+ANALYSIS!$G$5)*($C$25:$C$124&gt;=$C76)*($C$25:$C$124&lt;=$C76+ANALYSIS!$G$6)))</f>
        <v>0</v>
      </c>
      <c r="V76" cm="1">
        <f t="array" ref="V76">IF(BB76&gt;0,0,SUMPRODUCT((BB$25:BB$124=0)*($B$25:$B$124&gt;=$B76)*($B$25:$B$124&lt;=$B76+ANALYSIS!$G$5)*($C$25:$C$124&gt;=$C76)*($C$25:$C$124&lt;=$C76+ANALYSIS!$G$6)))</f>
        <v>0</v>
      </c>
      <c r="W76" cm="1">
        <f t="array" ref="W76">IF(BC76&gt;0,0,SUMPRODUCT((BC$25:BC$124=0)*($B$25:$B$124&gt;=$B76)*($B$25:$B$124&lt;=$B76+ANALYSIS!$G$5)*($C$25:$C$124&gt;=$C76)*($C$25:$C$124&lt;=$C76+ANALYSIS!$G$6)))</f>
        <v>0</v>
      </c>
      <c r="X76" cm="1">
        <f t="array" ref="X76">IF(BD76&gt;0,0,SUMPRODUCT((BD$25:BD$124=0)*($B$25:$B$124&gt;=$B76)*($B$25:$B$124&lt;=$B76+ANALYSIS!$G$5)*($C$25:$C$124&gt;=$C76)*($C$25:$C$124&lt;=$C76+ANALYSIS!$G$6)))</f>
        <v>0</v>
      </c>
      <c r="Y76" cm="1">
        <f t="array" ref="Y76">IF(BE76&gt;0,0,SUMPRODUCT((BE$25:BE$124=0)*($B$25:$B$124&gt;=$B76)*($B$25:$B$124&lt;=$B76+ANALYSIS!$G$5)*($C$25:$C$124&gt;=$C76)*($C$25:$C$124&lt;=$C76+ANALYSIS!$G$6)))</f>
        <v>0</v>
      </c>
      <c r="Z76" cm="1">
        <f t="array" ref="Z76">IF(BF76&gt;0,0,SUMPRODUCT((BF$25:BF$124=0)*($B$25:$B$124&gt;=$B76)*($B$25:$B$124&lt;=$B76+ANALYSIS!$G$5)*($C$25:$C$124&gt;=$C76)*($C$25:$C$124&lt;=$C76+ANALYSIS!$G$6)))</f>
        <v>0</v>
      </c>
      <c r="AA76" cm="1">
        <f t="array" ref="AA76">IF(BG76&gt;0,0,SUMPRODUCT((BG$25:BG$124=0)*($B$25:$B$124&gt;=$B76)*($B$25:$B$124&lt;=$B76+ANALYSIS!$G$5)*($C$25:$C$124&gt;=$C76)*($C$25:$C$124&lt;=$C76+ANALYSIS!$G$6)))</f>
        <v>0</v>
      </c>
      <c r="AB76" cm="1">
        <f t="array" ref="AB76">IF(BH76&gt;0,0,SUMPRODUCT((BH$25:BH$124=0)*($B$25:$B$124&gt;=$B76)*($B$25:$B$124&lt;=$B76+ANALYSIS!$G$5)*($C$25:$C$124&gt;=$C76)*($C$25:$C$124&lt;=$C76+ANALYSIS!$G$6)))</f>
        <v>0</v>
      </c>
      <c r="AC76" cm="1">
        <f t="array" ref="AC76">IF(BI76&gt;0,0,SUMPRODUCT((BI$25:BI$124=0)*($B$25:$B$124&gt;=$B76)*($B$25:$B$124&lt;=$B76+ANALYSIS!$G$5)*($C$25:$C$124&gt;=$C76)*($C$25:$C$124&lt;=$C76+ANALYSIS!$G$6)))</f>
        <v>0</v>
      </c>
      <c r="AD76" cm="1">
        <f t="array" ref="AD76">IF(BJ76&gt;0,0,SUMPRODUCT((BJ$25:BJ$124=0)*($B$25:$B$124&gt;=$B76)*($B$25:$B$124&lt;=$B76+ANALYSIS!$G$5)*($C$25:$C$124&gt;=$C76)*($C$25:$C$124&lt;=$C76+ANALYSIS!$G$6)))</f>
        <v>0</v>
      </c>
      <c r="AE76" cm="1">
        <f t="array" ref="AE76">IF(BK76&gt;0,0,SUMPRODUCT((BK$25:BK$124=0)*($B$25:$B$124&gt;=$B76)*($B$25:$B$124&lt;=$B76+ANALYSIS!$G$5)*($C$25:$C$124&gt;=$C76)*($C$25:$C$124&lt;=$C76+ANALYSIS!$G$6)))</f>
        <v>0</v>
      </c>
      <c r="AF76" cm="1">
        <f t="array" ref="AF76">IF(BL76&gt;0,0,SUMPRODUCT((BL$25:BL$124=0)*($B$25:$B$124&gt;=$B76)*($B$25:$B$124&lt;=$B76+ANALYSIS!$G$5)*($C$25:$C$124&gt;=$C76)*($C$25:$C$124&lt;=$C76+ANALYSIS!$G$6)))</f>
        <v>0</v>
      </c>
      <c r="AH76">
        <f>IF(AND(AX76=0,$B76&gt;=R$22,$B76&lt;=R$22+ANALYSIS!$G$5,$C76&gt;=R$23,$C76&lt;=R$23+ANALYSIS!$G$6),1,0)</f>
        <v>0</v>
      </c>
      <c r="AI76">
        <f>IF(AND(AY76=0,$B76&gt;=S$22,$B76&lt;=S$22+ANALYSIS!$G$5,$C76&gt;=S$23,$C76&lt;=S$23+ANALYSIS!$G$6),1,0)</f>
        <v>1</v>
      </c>
      <c r="AJ76">
        <f>IF(AND(AZ76=0,$B76&gt;=T$22,$B76&lt;=T$22+ANALYSIS!$G$5,$C76&gt;=T$23,$C76&lt;=T$23+ANALYSIS!$G$6),1,0)</f>
        <v>0</v>
      </c>
      <c r="AK76">
        <f>IF(AND(BA76=0,$B76&gt;=U$22,$B76&lt;=U$22+ANALYSIS!$G$5,$C76&gt;=U$23,$C76&lt;=U$23+ANALYSIS!$G$6),1,0)</f>
        <v>0</v>
      </c>
      <c r="AL76">
        <f>IF(AND(BB76=0,$B76&gt;=V$22,$B76&lt;=V$22+ANALYSIS!$G$5,$C76&gt;=V$23,$C76&lt;=V$23+ANALYSIS!$G$6),1,0)</f>
        <v>0</v>
      </c>
      <c r="AM76">
        <f>IF(AND(BC76=0,$B76&gt;=W$22,$B76&lt;=W$22+ANALYSIS!$G$5,$C76&gt;=W$23,$C76&lt;=W$23+ANALYSIS!$G$6),1,0)</f>
        <v>0</v>
      </c>
      <c r="AN76">
        <f>IF(AND(BD76=0,$B76&gt;=X$22,$B76&lt;=X$22+ANALYSIS!$G$5,$C76&gt;=X$23,$C76&lt;=X$23+ANALYSIS!$G$6),1,0)</f>
        <v>0</v>
      </c>
      <c r="AO76">
        <f>IF(AND(BE76=0,$B76&gt;=Y$22,$B76&lt;=Y$22+ANALYSIS!$G$5,$C76&gt;=Y$23,$C76&lt;=Y$23+ANALYSIS!$G$6),1,0)</f>
        <v>0</v>
      </c>
      <c r="AP76">
        <f>IF(AND(BF76=0,$B76&gt;=Z$22,$B76&lt;=Z$22+ANALYSIS!$G$5,$C76&gt;=Z$23,$C76&lt;=Z$23+ANALYSIS!$G$6),1,0)</f>
        <v>0</v>
      </c>
      <c r="AQ76">
        <f>IF(AND(BG76=0,$B76&gt;=AA$22,$B76&lt;=AA$22+ANALYSIS!$G$5,$C76&gt;=AA$23,$C76&lt;=AA$23+ANALYSIS!$G$6),1,0)</f>
        <v>0</v>
      </c>
      <c r="AR76">
        <f>IF(AND(BH76=0,$B76&gt;=AB$22,$B76&lt;=AB$22+ANALYSIS!$G$5,$C76&gt;=AB$23,$C76&lt;=AB$23+ANALYSIS!$G$6),1,0)</f>
        <v>0</v>
      </c>
      <c r="AS76">
        <f>IF(AND(BI76=0,$B76&gt;=AC$22,$B76&lt;=AC$22+ANALYSIS!$G$5,$C76&gt;=AC$23,$C76&lt;=AC$23+ANALYSIS!$G$6),1,0)</f>
        <v>0</v>
      </c>
      <c r="AT76">
        <f>IF(AND(BJ76=0,$B76&gt;=AD$22,$B76&lt;=AD$22+ANALYSIS!$G$5,$C76&gt;=AD$23,$C76&lt;=AD$23+ANALYSIS!$G$6),1,0)</f>
        <v>0</v>
      </c>
      <c r="AU76">
        <f>IF(AND(BK76=0,$B76&gt;=AE$22,$B76&lt;=AE$22+ANALYSIS!$G$5,$C76&gt;=AE$23,$C76&lt;=AE$23+ANALYSIS!$G$6),1,0)</f>
        <v>0</v>
      </c>
      <c r="AV76">
        <f>IF(AND(BL76=0,$B76&gt;=AF$22,$B76&lt;=AF$22+ANALYSIS!$G$5,$C76&gt;=AF$23,$C76&lt;=AF$23+ANALYSIS!$G$6),1,0)</f>
        <v>0</v>
      </c>
      <c r="AX76">
        <v>0</v>
      </c>
      <c r="AY76">
        <f t="shared" si="13"/>
        <v>0</v>
      </c>
      <c r="AZ76">
        <f t="shared" si="14"/>
        <v>1</v>
      </c>
      <c r="BA76">
        <f t="shared" si="15"/>
        <v>1</v>
      </c>
      <c r="BB76">
        <f t="shared" si="16"/>
        <v>1</v>
      </c>
      <c r="BC76">
        <f t="shared" si="17"/>
        <v>1</v>
      </c>
      <c r="BD76">
        <f t="shared" si="18"/>
        <v>1</v>
      </c>
      <c r="BE76">
        <f t="shared" si="19"/>
        <v>1</v>
      </c>
      <c r="BF76">
        <f t="shared" si="20"/>
        <v>1</v>
      </c>
      <c r="BG76">
        <f t="shared" si="21"/>
        <v>1</v>
      </c>
      <c r="BH76">
        <f t="shared" si="22"/>
        <v>1</v>
      </c>
      <c r="BI76">
        <f t="shared" si="23"/>
        <v>1</v>
      </c>
      <c r="BJ76">
        <f t="shared" si="24"/>
        <v>1</v>
      </c>
      <c r="BK76">
        <f t="shared" si="25"/>
        <v>1</v>
      </c>
      <c r="BL76">
        <f t="shared" si="26"/>
        <v>1</v>
      </c>
      <c r="BM76">
        <f t="shared" si="27"/>
        <v>1</v>
      </c>
    </row>
    <row r="77" spans="1:65" x14ac:dyDescent="0.25">
      <c r="A77" s="41" t="str">
        <f>ANALYSIS!B83</f>
        <v>20-03</v>
      </c>
      <c r="B77" s="41">
        <f>ANALYSIS!E83</f>
        <v>55</v>
      </c>
      <c r="C77" s="41">
        <f>ANALYSIS!G83</f>
        <v>23.97</v>
      </c>
      <c r="D77" s="41">
        <f t="shared" si="12"/>
        <v>1</v>
      </c>
      <c r="R77" cm="1">
        <f t="array" ref="R77">IF(AX77&gt;0,0,SUMPRODUCT((AX$25:AX$124=0)*($B$25:$B$124&gt;=$B77)*($B$25:$B$124&lt;=$B77+ANALYSIS!$G$5)*($C$25:$C$124&gt;=$C77)*($C$25:$C$124&lt;=$C77+ANALYSIS!$G$6)))</f>
        <v>10</v>
      </c>
      <c r="S77" cm="1">
        <f t="array" ref="S77">IF(AY77&gt;0,0,SUMPRODUCT((AY$25:AY$124=0)*($B$25:$B$124&gt;=$B77)*($B$25:$B$124&lt;=$B77+ANALYSIS!$G$5)*($C$25:$C$124&gt;=$C77)*($C$25:$C$124&lt;=$C77+ANALYSIS!$G$6)))</f>
        <v>0</v>
      </c>
      <c r="T77" cm="1">
        <f t="array" ref="T77">IF(AZ77&gt;0,0,SUMPRODUCT((AZ$25:AZ$124=0)*($B$25:$B$124&gt;=$B77)*($B$25:$B$124&lt;=$B77+ANALYSIS!$G$5)*($C$25:$C$124&gt;=$C77)*($C$25:$C$124&lt;=$C77+ANALYSIS!$G$6)))</f>
        <v>0</v>
      </c>
      <c r="U77" cm="1">
        <f t="array" ref="U77">IF(BA77&gt;0,0,SUMPRODUCT((BA$25:BA$124=0)*($B$25:$B$124&gt;=$B77)*($B$25:$B$124&lt;=$B77+ANALYSIS!$G$5)*($C$25:$C$124&gt;=$C77)*($C$25:$C$124&lt;=$C77+ANALYSIS!$G$6)))</f>
        <v>0</v>
      </c>
      <c r="V77" cm="1">
        <f t="array" ref="V77">IF(BB77&gt;0,0,SUMPRODUCT((BB$25:BB$124=0)*($B$25:$B$124&gt;=$B77)*($B$25:$B$124&lt;=$B77+ANALYSIS!$G$5)*($C$25:$C$124&gt;=$C77)*($C$25:$C$124&lt;=$C77+ANALYSIS!$G$6)))</f>
        <v>0</v>
      </c>
      <c r="W77" cm="1">
        <f t="array" ref="W77">IF(BC77&gt;0,0,SUMPRODUCT((BC$25:BC$124=0)*($B$25:$B$124&gt;=$B77)*($B$25:$B$124&lt;=$B77+ANALYSIS!$G$5)*($C$25:$C$124&gt;=$C77)*($C$25:$C$124&lt;=$C77+ANALYSIS!$G$6)))</f>
        <v>0</v>
      </c>
      <c r="X77" cm="1">
        <f t="array" ref="X77">IF(BD77&gt;0,0,SUMPRODUCT((BD$25:BD$124=0)*($B$25:$B$124&gt;=$B77)*($B$25:$B$124&lt;=$B77+ANALYSIS!$G$5)*($C$25:$C$124&gt;=$C77)*($C$25:$C$124&lt;=$C77+ANALYSIS!$G$6)))</f>
        <v>0</v>
      </c>
      <c r="Y77" cm="1">
        <f t="array" ref="Y77">IF(BE77&gt;0,0,SUMPRODUCT((BE$25:BE$124=0)*($B$25:$B$124&gt;=$B77)*($B$25:$B$124&lt;=$B77+ANALYSIS!$G$5)*($C$25:$C$124&gt;=$C77)*($C$25:$C$124&lt;=$C77+ANALYSIS!$G$6)))</f>
        <v>0</v>
      </c>
      <c r="Z77" cm="1">
        <f t="array" ref="Z77">IF(BF77&gt;0,0,SUMPRODUCT((BF$25:BF$124=0)*($B$25:$B$124&gt;=$B77)*($B$25:$B$124&lt;=$B77+ANALYSIS!$G$5)*($C$25:$C$124&gt;=$C77)*($C$25:$C$124&lt;=$C77+ANALYSIS!$G$6)))</f>
        <v>0</v>
      </c>
      <c r="AA77" cm="1">
        <f t="array" ref="AA77">IF(BG77&gt;0,0,SUMPRODUCT((BG$25:BG$124=0)*($B$25:$B$124&gt;=$B77)*($B$25:$B$124&lt;=$B77+ANALYSIS!$G$5)*($C$25:$C$124&gt;=$C77)*($C$25:$C$124&lt;=$C77+ANALYSIS!$G$6)))</f>
        <v>0</v>
      </c>
      <c r="AB77" cm="1">
        <f t="array" ref="AB77">IF(BH77&gt;0,0,SUMPRODUCT((BH$25:BH$124=0)*($B$25:$B$124&gt;=$B77)*($B$25:$B$124&lt;=$B77+ANALYSIS!$G$5)*($C$25:$C$124&gt;=$C77)*($C$25:$C$124&lt;=$C77+ANALYSIS!$G$6)))</f>
        <v>0</v>
      </c>
      <c r="AC77" cm="1">
        <f t="array" ref="AC77">IF(BI77&gt;0,0,SUMPRODUCT((BI$25:BI$124=0)*($B$25:$B$124&gt;=$B77)*($B$25:$B$124&lt;=$B77+ANALYSIS!$G$5)*($C$25:$C$124&gt;=$C77)*($C$25:$C$124&lt;=$C77+ANALYSIS!$G$6)))</f>
        <v>0</v>
      </c>
      <c r="AD77" cm="1">
        <f t="array" ref="AD77">IF(BJ77&gt;0,0,SUMPRODUCT((BJ$25:BJ$124=0)*($B$25:$B$124&gt;=$B77)*($B$25:$B$124&lt;=$B77+ANALYSIS!$G$5)*($C$25:$C$124&gt;=$C77)*($C$25:$C$124&lt;=$C77+ANALYSIS!$G$6)))</f>
        <v>0</v>
      </c>
      <c r="AE77" cm="1">
        <f t="array" ref="AE77">IF(BK77&gt;0,0,SUMPRODUCT((BK$25:BK$124=0)*($B$25:$B$124&gt;=$B77)*($B$25:$B$124&lt;=$B77+ANALYSIS!$G$5)*($C$25:$C$124&gt;=$C77)*($C$25:$C$124&lt;=$C77+ANALYSIS!$G$6)))</f>
        <v>0</v>
      </c>
      <c r="AF77" cm="1">
        <f t="array" ref="AF77">IF(BL77&gt;0,0,SUMPRODUCT((BL$25:BL$124=0)*($B$25:$B$124&gt;=$B77)*($B$25:$B$124&lt;=$B77+ANALYSIS!$G$5)*($C$25:$C$124&gt;=$C77)*($C$25:$C$124&lt;=$C77+ANALYSIS!$G$6)))</f>
        <v>0</v>
      </c>
      <c r="AH77">
        <f>IF(AND(AX77=0,$B77&gt;=R$22,$B77&lt;=R$22+ANALYSIS!$G$5,$C77&gt;=R$23,$C77&lt;=R$23+ANALYSIS!$G$6),1,0)</f>
        <v>1</v>
      </c>
      <c r="AI77">
        <f>IF(AND(AY77=0,$B77&gt;=S$22,$B77&lt;=S$22+ANALYSIS!$G$5,$C77&gt;=S$23,$C77&lt;=S$23+ANALYSIS!$G$6),1,0)</f>
        <v>0</v>
      </c>
      <c r="AJ77">
        <f>IF(AND(AZ77=0,$B77&gt;=T$22,$B77&lt;=T$22+ANALYSIS!$G$5,$C77&gt;=T$23,$C77&lt;=T$23+ANALYSIS!$G$6),1,0)</f>
        <v>0</v>
      </c>
      <c r="AK77">
        <f>IF(AND(BA77=0,$B77&gt;=U$22,$B77&lt;=U$22+ANALYSIS!$G$5,$C77&gt;=U$23,$C77&lt;=U$23+ANALYSIS!$G$6),1,0)</f>
        <v>0</v>
      </c>
      <c r="AL77">
        <f>IF(AND(BB77=0,$B77&gt;=V$22,$B77&lt;=V$22+ANALYSIS!$G$5,$C77&gt;=V$23,$C77&lt;=V$23+ANALYSIS!$G$6),1,0)</f>
        <v>0</v>
      </c>
      <c r="AM77">
        <f>IF(AND(BC77=0,$B77&gt;=W$22,$B77&lt;=W$22+ANALYSIS!$G$5,$C77&gt;=W$23,$C77&lt;=W$23+ANALYSIS!$G$6),1,0)</f>
        <v>0</v>
      </c>
      <c r="AN77">
        <f>IF(AND(BD77=0,$B77&gt;=X$22,$B77&lt;=X$22+ANALYSIS!$G$5,$C77&gt;=X$23,$C77&lt;=X$23+ANALYSIS!$G$6),1,0)</f>
        <v>0</v>
      </c>
      <c r="AO77">
        <f>IF(AND(BE77=0,$B77&gt;=Y$22,$B77&lt;=Y$22+ANALYSIS!$G$5,$C77&gt;=Y$23,$C77&lt;=Y$23+ANALYSIS!$G$6),1,0)</f>
        <v>0</v>
      </c>
      <c r="AP77">
        <f>IF(AND(BF77=0,$B77&gt;=Z$22,$B77&lt;=Z$22+ANALYSIS!$G$5,$C77&gt;=Z$23,$C77&lt;=Z$23+ANALYSIS!$G$6),1,0)</f>
        <v>0</v>
      </c>
      <c r="AQ77">
        <f>IF(AND(BG77=0,$B77&gt;=AA$22,$B77&lt;=AA$22+ANALYSIS!$G$5,$C77&gt;=AA$23,$C77&lt;=AA$23+ANALYSIS!$G$6),1,0)</f>
        <v>0</v>
      </c>
      <c r="AR77">
        <f>IF(AND(BH77=0,$B77&gt;=AB$22,$B77&lt;=AB$22+ANALYSIS!$G$5,$C77&gt;=AB$23,$C77&lt;=AB$23+ANALYSIS!$G$6),1,0)</f>
        <v>0</v>
      </c>
      <c r="AS77">
        <f>IF(AND(BI77=0,$B77&gt;=AC$22,$B77&lt;=AC$22+ANALYSIS!$G$5,$C77&gt;=AC$23,$C77&lt;=AC$23+ANALYSIS!$G$6),1,0)</f>
        <v>0</v>
      </c>
      <c r="AT77">
        <f>IF(AND(BJ77=0,$B77&gt;=AD$22,$B77&lt;=AD$22+ANALYSIS!$G$5,$C77&gt;=AD$23,$C77&lt;=AD$23+ANALYSIS!$G$6),1,0)</f>
        <v>0</v>
      </c>
      <c r="AU77">
        <f>IF(AND(BK77=0,$B77&gt;=AE$22,$B77&lt;=AE$22+ANALYSIS!$G$5,$C77&gt;=AE$23,$C77&lt;=AE$23+ANALYSIS!$G$6),1,0)</f>
        <v>0</v>
      </c>
      <c r="AV77">
        <f>IF(AND(BL77=0,$B77&gt;=AF$22,$B77&lt;=AF$22+ANALYSIS!$G$5,$C77&gt;=AF$23,$C77&lt;=AF$23+ANALYSIS!$G$6),1,0)</f>
        <v>0</v>
      </c>
      <c r="AX77">
        <v>0</v>
      </c>
      <c r="AY77">
        <f t="shared" si="13"/>
        <v>1</v>
      </c>
      <c r="AZ77">
        <f t="shared" si="14"/>
        <v>1</v>
      </c>
      <c r="BA77">
        <f t="shared" si="15"/>
        <v>1</v>
      </c>
      <c r="BB77">
        <f t="shared" si="16"/>
        <v>1</v>
      </c>
      <c r="BC77">
        <f t="shared" si="17"/>
        <v>1</v>
      </c>
      <c r="BD77">
        <f t="shared" si="18"/>
        <v>1</v>
      </c>
      <c r="BE77">
        <f t="shared" si="19"/>
        <v>1</v>
      </c>
      <c r="BF77">
        <f t="shared" si="20"/>
        <v>1</v>
      </c>
      <c r="BG77">
        <f t="shared" si="21"/>
        <v>1</v>
      </c>
      <c r="BH77">
        <f t="shared" si="22"/>
        <v>1</v>
      </c>
      <c r="BI77">
        <f t="shared" si="23"/>
        <v>1</v>
      </c>
      <c r="BJ77">
        <f t="shared" si="24"/>
        <v>1</v>
      </c>
      <c r="BK77">
        <f t="shared" si="25"/>
        <v>1</v>
      </c>
      <c r="BL77">
        <f t="shared" si="26"/>
        <v>1</v>
      </c>
      <c r="BM77">
        <f t="shared" si="27"/>
        <v>1</v>
      </c>
    </row>
    <row r="78" spans="1:65" x14ac:dyDescent="0.25">
      <c r="A78" s="41" t="str">
        <f>ANALYSIS!B84</f>
        <v>20-04</v>
      </c>
      <c r="B78" s="41">
        <f>ANALYSIS!E84</f>
        <v>58</v>
      </c>
      <c r="C78" s="41">
        <f>ANALYSIS!G84</f>
        <v>23.56</v>
      </c>
      <c r="D78" s="41">
        <f t="shared" si="12"/>
        <v>9</v>
      </c>
      <c r="R78" cm="1">
        <f t="array" ref="R78">IF(AX78&gt;0,0,SUMPRODUCT((AX$25:AX$124=0)*($B$25:$B$124&gt;=$B78)*($B$25:$B$124&lt;=$B78+ANALYSIS!$G$5)*($C$25:$C$124&gt;=$C78)*($C$25:$C$124&lt;=$C78+ANALYSIS!$G$6)))</f>
        <v>2</v>
      </c>
      <c r="S78" cm="1">
        <f t="array" ref="S78">IF(AY78&gt;0,0,SUMPRODUCT((AY$25:AY$124=0)*($B$25:$B$124&gt;=$B78)*($B$25:$B$124&lt;=$B78+ANALYSIS!$G$5)*($C$25:$C$124&gt;=$C78)*($C$25:$C$124&lt;=$C78+ANALYSIS!$G$6)))</f>
        <v>2</v>
      </c>
      <c r="T78" cm="1">
        <f t="array" ref="T78">IF(AZ78&gt;0,0,SUMPRODUCT((AZ$25:AZ$124=0)*($B$25:$B$124&gt;=$B78)*($B$25:$B$124&lt;=$B78+ANALYSIS!$G$5)*($C$25:$C$124&gt;=$C78)*($C$25:$C$124&lt;=$C78+ANALYSIS!$G$6)))</f>
        <v>2</v>
      </c>
      <c r="U78" cm="1">
        <f t="array" ref="U78">IF(BA78&gt;0,0,SUMPRODUCT((BA$25:BA$124=0)*($B$25:$B$124&gt;=$B78)*($B$25:$B$124&lt;=$B78+ANALYSIS!$G$5)*($C$25:$C$124&gt;=$C78)*($C$25:$C$124&lt;=$C78+ANALYSIS!$G$6)))</f>
        <v>2</v>
      </c>
      <c r="V78" cm="1">
        <f t="array" ref="V78">IF(BB78&gt;0,0,SUMPRODUCT((BB$25:BB$124=0)*($B$25:$B$124&gt;=$B78)*($B$25:$B$124&lt;=$B78+ANALYSIS!$G$5)*($C$25:$C$124&gt;=$C78)*($C$25:$C$124&lt;=$C78+ANALYSIS!$G$6)))</f>
        <v>2</v>
      </c>
      <c r="W78" cm="1">
        <f t="array" ref="W78">IF(BC78&gt;0,0,SUMPRODUCT((BC$25:BC$124=0)*($B$25:$B$124&gt;=$B78)*($B$25:$B$124&lt;=$B78+ANALYSIS!$G$5)*($C$25:$C$124&gt;=$C78)*($C$25:$C$124&lt;=$C78+ANALYSIS!$G$6)))</f>
        <v>2</v>
      </c>
      <c r="X78" cm="1">
        <f t="array" ref="X78">IF(BD78&gt;0,0,SUMPRODUCT((BD$25:BD$124=0)*($B$25:$B$124&gt;=$B78)*($B$25:$B$124&lt;=$B78+ANALYSIS!$G$5)*($C$25:$C$124&gt;=$C78)*($C$25:$C$124&lt;=$C78+ANALYSIS!$G$6)))</f>
        <v>2</v>
      </c>
      <c r="Y78" cm="1">
        <f t="array" ref="Y78">IF(BE78&gt;0,0,SUMPRODUCT((BE$25:BE$124=0)*($B$25:$B$124&gt;=$B78)*($B$25:$B$124&lt;=$B78+ANALYSIS!$G$5)*($C$25:$C$124&gt;=$C78)*($C$25:$C$124&lt;=$C78+ANALYSIS!$G$6)))</f>
        <v>2</v>
      </c>
      <c r="Z78" cm="1">
        <f t="array" ref="Z78">IF(BF78&gt;0,0,SUMPRODUCT((BF$25:BF$124=0)*($B$25:$B$124&gt;=$B78)*($B$25:$B$124&lt;=$B78+ANALYSIS!$G$5)*($C$25:$C$124&gt;=$C78)*($C$25:$C$124&lt;=$C78+ANALYSIS!$G$6)))</f>
        <v>2</v>
      </c>
      <c r="AA78" cm="1">
        <f t="array" ref="AA78">IF(BG78&gt;0,0,SUMPRODUCT((BG$25:BG$124=0)*($B$25:$B$124&gt;=$B78)*($B$25:$B$124&lt;=$B78+ANALYSIS!$G$5)*($C$25:$C$124&gt;=$C78)*($C$25:$C$124&lt;=$C78+ANALYSIS!$G$6)))</f>
        <v>0</v>
      </c>
      <c r="AB78" cm="1">
        <f t="array" ref="AB78">IF(BH78&gt;0,0,SUMPRODUCT((BH$25:BH$124=0)*($B$25:$B$124&gt;=$B78)*($B$25:$B$124&lt;=$B78+ANALYSIS!$G$5)*($C$25:$C$124&gt;=$C78)*($C$25:$C$124&lt;=$C78+ANALYSIS!$G$6)))</f>
        <v>0</v>
      </c>
      <c r="AC78" cm="1">
        <f t="array" ref="AC78">IF(BI78&gt;0,0,SUMPRODUCT((BI$25:BI$124=0)*($B$25:$B$124&gt;=$B78)*($B$25:$B$124&lt;=$B78+ANALYSIS!$G$5)*($C$25:$C$124&gt;=$C78)*($C$25:$C$124&lt;=$C78+ANALYSIS!$G$6)))</f>
        <v>0</v>
      </c>
      <c r="AD78" cm="1">
        <f t="array" ref="AD78">IF(BJ78&gt;0,0,SUMPRODUCT((BJ$25:BJ$124=0)*($B$25:$B$124&gt;=$B78)*($B$25:$B$124&lt;=$B78+ANALYSIS!$G$5)*($C$25:$C$124&gt;=$C78)*($C$25:$C$124&lt;=$C78+ANALYSIS!$G$6)))</f>
        <v>0</v>
      </c>
      <c r="AE78" cm="1">
        <f t="array" ref="AE78">IF(BK78&gt;0,0,SUMPRODUCT((BK$25:BK$124=0)*($B$25:$B$124&gt;=$B78)*($B$25:$B$124&lt;=$B78+ANALYSIS!$G$5)*($C$25:$C$124&gt;=$C78)*($C$25:$C$124&lt;=$C78+ANALYSIS!$G$6)))</f>
        <v>0</v>
      </c>
      <c r="AF78" cm="1">
        <f t="array" ref="AF78">IF(BL78&gt;0,0,SUMPRODUCT((BL$25:BL$124=0)*($B$25:$B$124&gt;=$B78)*($B$25:$B$124&lt;=$B78+ANALYSIS!$G$5)*($C$25:$C$124&gt;=$C78)*($C$25:$C$124&lt;=$C78+ANALYSIS!$G$6)))</f>
        <v>0</v>
      </c>
      <c r="AH78">
        <f>IF(AND(AX78=0,$B78&gt;=R$22,$B78&lt;=R$22+ANALYSIS!$G$5,$C78&gt;=R$23,$C78&lt;=R$23+ANALYSIS!$G$6),1,0)</f>
        <v>0</v>
      </c>
      <c r="AI78">
        <f>IF(AND(AY78=0,$B78&gt;=S$22,$B78&lt;=S$22+ANALYSIS!$G$5,$C78&gt;=S$23,$C78&lt;=S$23+ANALYSIS!$G$6),1,0)</f>
        <v>0</v>
      </c>
      <c r="AJ78">
        <f>IF(AND(AZ78=0,$B78&gt;=T$22,$B78&lt;=T$22+ANALYSIS!$G$5,$C78&gt;=T$23,$C78&lt;=T$23+ANALYSIS!$G$6),1,0)</f>
        <v>0</v>
      </c>
      <c r="AK78">
        <f>IF(AND(BA78=0,$B78&gt;=U$22,$B78&lt;=U$22+ANALYSIS!$G$5,$C78&gt;=U$23,$C78&lt;=U$23+ANALYSIS!$G$6),1,0)</f>
        <v>0</v>
      </c>
      <c r="AL78">
        <f>IF(AND(BB78=0,$B78&gt;=V$22,$B78&lt;=V$22+ANALYSIS!$G$5,$C78&gt;=V$23,$C78&lt;=V$23+ANALYSIS!$G$6),1,0)</f>
        <v>0</v>
      </c>
      <c r="AM78">
        <f>IF(AND(BC78=0,$B78&gt;=W$22,$B78&lt;=W$22+ANALYSIS!$G$5,$C78&gt;=W$23,$C78&lt;=W$23+ANALYSIS!$G$6),1,0)</f>
        <v>0</v>
      </c>
      <c r="AN78">
        <f>IF(AND(BD78=0,$B78&gt;=X$22,$B78&lt;=X$22+ANALYSIS!$G$5,$C78&gt;=X$23,$C78&lt;=X$23+ANALYSIS!$G$6),1,0)</f>
        <v>0</v>
      </c>
      <c r="AO78">
        <f>IF(AND(BE78=0,$B78&gt;=Y$22,$B78&lt;=Y$22+ANALYSIS!$G$5,$C78&gt;=Y$23,$C78&lt;=Y$23+ANALYSIS!$G$6),1,0)</f>
        <v>0</v>
      </c>
      <c r="AP78">
        <f>IF(AND(BF78=0,$B78&gt;=Z$22,$B78&lt;=Z$22+ANALYSIS!$G$5,$C78&gt;=Z$23,$C78&lt;=Z$23+ANALYSIS!$G$6),1,0)</f>
        <v>1</v>
      </c>
      <c r="AQ78">
        <f>IF(AND(BG78=0,$B78&gt;=AA$22,$B78&lt;=AA$22+ANALYSIS!$G$5,$C78&gt;=AA$23,$C78&lt;=AA$23+ANALYSIS!$G$6),1,0)</f>
        <v>0</v>
      </c>
      <c r="AR78">
        <f>IF(AND(BH78=0,$B78&gt;=AB$22,$B78&lt;=AB$22+ANALYSIS!$G$5,$C78&gt;=AB$23,$C78&lt;=AB$23+ANALYSIS!$G$6),1,0)</f>
        <v>0</v>
      </c>
      <c r="AS78">
        <f>IF(AND(BI78=0,$B78&gt;=AC$22,$B78&lt;=AC$22+ANALYSIS!$G$5,$C78&gt;=AC$23,$C78&lt;=AC$23+ANALYSIS!$G$6),1,0)</f>
        <v>0</v>
      </c>
      <c r="AT78">
        <f>IF(AND(BJ78=0,$B78&gt;=AD$22,$B78&lt;=AD$22+ANALYSIS!$G$5,$C78&gt;=AD$23,$C78&lt;=AD$23+ANALYSIS!$G$6),1,0)</f>
        <v>0</v>
      </c>
      <c r="AU78">
        <f>IF(AND(BK78=0,$B78&gt;=AE$22,$B78&lt;=AE$22+ANALYSIS!$G$5,$C78&gt;=AE$23,$C78&lt;=AE$23+ANALYSIS!$G$6),1,0)</f>
        <v>0</v>
      </c>
      <c r="AV78">
        <f>IF(AND(BL78=0,$B78&gt;=AF$22,$B78&lt;=AF$22+ANALYSIS!$G$5,$C78&gt;=AF$23,$C78&lt;=AF$23+ANALYSIS!$G$6),1,0)</f>
        <v>0</v>
      </c>
      <c r="AX78">
        <v>0</v>
      </c>
      <c r="AY78">
        <f t="shared" si="13"/>
        <v>0</v>
      </c>
      <c r="AZ78">
        <f t="shared" si="14"/>
        <v>0</v>
      </c>
      <c r="BA78">
        <f t="shared" si="15"/>
        <v>0</v>
      </c>
      <c r="BB78">
        <f t="shared" si="16"/>
        <v>0</v>
      </c>
      <c r="BC78">
        <f t="shared" si="17"/>
        <v>0</v>
      </c>
      <c r="BD78">
        <f t="shared" si="18"/>
        <v>0</v>
      </c>
      <c r="BE78">
        <f t="shared" si="19"/>
        <v>0</v>
      </c>
      <c r="BF78">
        <f t="shared" si="20"/>
        <v>0</v>
      </c>
      <c r="BG78">
        <f t="shared" si="21"/>
        <v>1</v>
      </c>
      <c r="BH78">
        <f t="shared" si="22"/>
        <v>1</v>
      </c>
      <c r="BI78">
        <f t="shared" si="23"/>
        <v>1</v>
      </c>
      <c r="BJ78">
        <f t="shared" si="24"/>
        <v>1</v>
      </c>
      <c r="BK78">
        <f t="shared" si="25"/>
        <v>1</v>
      </c>
      <c r="BL78">
        <f t="shared" si="26"/>
        <v>1</v>
      </c>
      <c r="BM78">
        <f t="shared" si="27"/>
        <v>1</v>
      </c>
    </row>
    <row r="79" spans="1:65" x14ac:dyDescent="0.25">
      <c r="A79" s="41" t="str">
        <f>ANALYSIS!B85</f>
        <v>20-05</v>
      </c>
      <c r="B79" s="41">
        <f>ANALYSIS!E85</f>
        <v>56</v>
      </c>
      <c r="C79" s="41">
        <f>ANALYSIS!G85</f>
        <v>22.26</v>
      </c>
      <c r="D79" s="41">
        <f t="shared" si="12"/>
        <v>5</v>
      </c>
      <c r="R79" cm="1">
        <f t="array" ref="R79">IF(AX79&gt;0,0,SUMPRODUCT((AX$25:AX$124=0)*($B$25:$B$124&gt;=$B79)*($B$25:$B$124&lt;=$B79+ANALYSIS!$G$5)*($C$25:$C$124&gt;=$C79)*($C$25:$C$124&lt;=$C79+ANALYSIS!$G$6)))</f>
        <v>4</v>
      </c>
      <c r="S79" cm="1">
        <f t="array" ref="S79">IF(AY79&gt;0,0,SUMPRODUCT((AY$25:AY$124=0)*($B$25:$B$124&gt;=$B79)*($B$25:$B$124&lt;=$B79+ANALYSIS!$G$5)*($C$25:$C$124&gt;=$C79)*($C$25:$C$124&lt;=$C79+ANALYSIS!$G$6)))</f>
        <v>4</v>
      </c>
      <c r="T79" cm="1">
        <f t="array" ref="T79">IF(AZ79&gt;0,0,SUMPRODUCT((AZ$25:AZ$124=0)*($B$25:$B$124&gt;=$B79)*($B$25:$B$124&lt;=$B79+ANALYSIS!$G$5)*($C$25:$C$124&gt;=$C79)*($C$25:$C$124&lt;=$C79+ANALYSIS!$G$6)))</f>
        <v>4</v>
      </c>
      <c r="U79" cm="1">
        <f t="array" ref="U79">IF(BA79&gt;0,0,SUMPRODUCT((BA$25:BA$124=0)*($B$25:$B$124&gt;=$B79)*($B$25:$B$124&lt;=$B79+ANALYSIS!$G$5)*($C$25:$C$124&gt;=$C79)*($C$25:$C$124&lt;=$C79+ANALYSIS!$G$6)))</f>
        <v>4</v>
      </c>
      <c r="V79" cm="1">
        <f t="array" ref="V79">IF(BB79&gt;0,0,SUMPRODUCT((BB$25:BB$124=0)*($B$25:$B$124&gt;=$B79)*($B$25:$B$124&lt;=$B79+ANALYSIS!$G$5)*($C$25:$C$124&gt;=$C79)*($C$25:$C$124&lt;=$C79+ANALYSIS!$G$6)))</f>
        <v>4</v>
      </c>
      <c r="W79" cm="1">
        <f t="array" ref="W79">IF(BC79&gt;0,0,SUMPRODUCT((BC$25:BC$124=0)*($B$25:$B$124&gt;=$B79)*($B$25:$B$124&lt;=$B79+ANALYSIS!$G$5)*($C$25:$C$124&gt;=$C79)*($C$25:$C$124&lt;=$C79+ANALYSIS!$G$6)))</f>
        <v>0</v>
      </c>
      <c r="X79" cm="1">
        <f t="array" ref="X79">IF(BD79&gt;0,0,SUMPRODUCT((BD$25:BD$124=0)*($B$25:$B$124&gt;=$B79)*($B$25:$B$124&lt;=$B79+ANALYSIS!$G$5)*($C$25:$C$124&gt;=$C79)*($C$25:$C$124&lt;=$C79+ANALYSIS!$G$6)))</f>
        <v>0</v>
      </c>
      <c r="Y79" cm="1">
        <f t="array" ref="Y79">IF(BE79&gt;0,0,SUMPRODUCT((BE$25:BE$124=0)*($B$25:$B$124&gt;=$B79)*($B$25:$B$124&lt;=$B79+ANALYSIS!$G$5)*($C$25:$C$124&gt;=$C79)*($C$25:$C$124&lt;=$C79+ANALYSIS!$G$6)))</f>
        <v>0</v>
      </c>
      <c r="Z79" cm="1">
        <f t="array" ref="Z79">IF(BF79&gt;0,0,SUMPRODUCT((BF$25:BF$124=0)*($B$25:$B$124&gt;=$B79)*($B$25:$B$124&lt;=$B79+ANALYSIS!$G$5)*($C$25:$C$124&gt;=$C79)*($C$25:$C$124&lt;=$C79+ANALYSIS!$G$6)))</f>
        <v>0</v>
      </c>
      <c r="AA79" cm="1">
        <f t="array" ref="AA79">IF(BG79&gt;0,0,SUMPRODUCT((BG$25:BG$124=0)*($B$25:$B$124&gt;=$B79)*($B$25:$B$124&lt;=$B79+ANALYSIS!$G$5)*($C$25:$C$124&gt;=$C79)*($C$25:$C$124&lt;=$C79+ANALYSIS!$G$6)))</f>
        <v>0</v>
      </c>
      <c r="AB79" cm="1">
        <f t="array" ref="AB79">IF(BH79&gt;0,0,SUMPRODUCT((BH$25:BH$124=0)*($B$25:$B$124&gt;=$B79)*($B$25:$B$124&lt;=$B79+ANALYSIS!$G$5)*($C$25:$C$124&gt;=$C79)*($C$25:$C$124&lt;=$C79+ANALYSIS!$G$6)))</f>
        <v>0</v>
      </c>
      <c r="AC79" cm="1">
        <f t="array" ref="AC79">IF(BI79&gt;0,0,SUMPRODUCT((BI$25:BI$124=0)*($B$25:$B$124&gt;=$B79)*($B$25:$B$124&lt;=$B79+ANALYSIS!$G$5)*($C$25:$C$124&gt;=$C79)*($C$25:$C$124&lt;=$C79+ANALYSIS!$G$6)))</f>
        <v>0</v>
      </c>
      <c r="AD79" cm="1">
        <f t="array" ref="AD79">IF(BJ79&gt;0,0,SUMPRODUCT((BJ$25:BJ$124=0)*($B$25:$B$124&gt;=$B79)*($B$25:$B$124&lt;=$B79+ANALYSIS!$G$5)*($C$25:$C$124&gt;=$C79)*($C$25:$C$124&lt;=$C79+ANALYSIS!$G$6)))</f>
        <v>0</v>
      </c>
      <c r="AE79" cm="1">
        <f t="array" ref="AE79">IF(BK79&gt;0,0,SUMPRODUCT((BK$25:BK$124=0)*($B$25:$B$124&gt;=$B79)*($B$25:$B$124&lt;=$B79+ANALYSIS!$G$5)*($C$25:$C$124&gt;=$C79)*($C$25:$C$124&lt;=$C79+ANALYSIS!$G$6)))</f>
        <v>0</v>
      </c>
      <c r="AF79" cm="1">
        <f t="array" ref="AF79">IF(BL79&gt;0,0,SUMPRODUCT((BL$25:BL$124=0)*($B$25:$B$124&gt;=$B79)*($B$25:$B$124&lt;=$B79+ANALYSIS!$G$5)*($C$25:$C$124&gt;=$C79)*($C$25:$C$124&lt;=$C79+ANALYSIS!$G$6)))</f>
        <v>0</v>
      </c>
      <c r="AH79">
        <f>IF(AND(AX79=0,$B79&gt;=R$22,$B79&lt;=R$22+ANALYSIS!$G$5,$C79&gt;=R$23,$C79&lt;=R$23+ANALYSIS!$G$6),1,0)</f>
        <v>0</v>
      </c>
      <c r="AI79">
        <f>IF(AND(AY79=0,$B79&gt;=S$22,$B79&lt;=S$22+ANALYSIS!$G$5,$C79&gt;=S$23,$C79&lt;=S$23+ANALYSIS!$G$6),1,0)</f>
        <v>0</v>
      </c>
      <c r="AJ79">
        <f>IF(AND(AZ79=0,$B79&gt;=T$22,$B79&lt;=T$22+ANALYSIS!$G$5,$C79&gt;=T$23,$C79&lt;=T$23+ANALYSIS!$G$6),1,0)</f>
        <v>0</v>
      </c>
      <c r="AK79">
        <f>IF(AND(BA79=0,$B79&gt;=U$22,$B79&lt;=U$22+ANALYSIS!$G$5,$C79&gt;=U$23,$C79&lt;=U$23+ANALYSIS!$G$6),1,0)</f>
        <v>0</v>
      </c>
      <c r="AL79">
        <f>IF(AND(BB79=0,$B79&gt;=V$22,$B79&lt;=V$22+ANALYSIS!$G$5,$C79&gt;=V$23,$C79&lt;=V$23+ANALYSIS!$G$6),1,0)</f>
        <v>1</v>
      </c>
      <c r="AM79">
        <f>IF(AND(BC79=0,$B79&gt;=W$22,$B79&lt;=W$22+ANALYSIS!$G$5,$C79&gt;=W$23,$C79&lt;=W$23+ANALYSIS!$G$6),1,0)</f>
        <v>0</v>
      </c>
      <c r="AN79">
        <f>IF(AND(BD79=0,$B79&gt;=X$22,$B79&lt;=X$22+ANALYSIS!$G$5,$C79&gt;=X$23,$C79&lt;=X$23+ANALYSIS!$G$6),1,0)</f>
        <v>0</v>
      </c>
      <c r="AO79">
        <f>IF(AND(BE79=0,$B79&gt;=Y$22,$B79&lt;=Y$22+ANALYSIS!$G$5,$C79&gt;=Y$23,$C79&lt;=Y$23+ANALYSIS!$G$6),1,0)</f>
        <v>0</v>
      </c>
      <c r="AP79">
        <f>IF(AND(BF79=0,$B79&gt;=Z$22,$B79&lt;=Z$22+ANALYSIS!$G$5,$C79&gt;=Z$23,$C79&lt;=Z$23+ANALYSIS!$G$6),1,0)</f>
        <v>0</v>
      </c>
      <c r="AQ79">
        <f>IF(AND(BG79=0,$B79&gt;=AA$22,$B79&lt;=AA$22+ANALYSIS!$G$5,$C79&gt;=AA$23,$C79&lt;=AA$23+ANALYSIS!$G$6),1,0)</f>
        <v>0</v>
      </c>
      <c r="AR79">
        <f>IF(AND(BH79=0,$B79&gt;=AB$22,$B79&lt;=AB$22+ANALYSIS!$G$5,$C79&gt;=AB$23,$C79&lt;=AB$23+ANALYSIS!$G$6),1,0)</f>
        <v>0</v>
      </c>
      <c r="AS79">
        <f>IF(AND(BI79=0,$B79&gt;=AC$22,$B79&lt;=AC$22+ANALYSIS!$G$5,$C79&gt;=AC$23,$C79&lt;=AC$23+ANALYSIS!$G$6),1,0)</f>
        <v>0</v>
      </c>
      <c r="AT79">
        <f>IF(AND(BJ79=0,$B79&gt;=AD$22,$B79&lt;=AD$22+ANALYSIS!$G$5,$C79&gt;=AD$23,$C79&lt;=AD$23+ANALYSIS!$G$6),1,0)</f>
        <v>0</v>
      </c>
      <c r="AU79">
        <f>IF(AND(BK79=0,$B79&gt;=AE$22,$B79&lt;=AE$22+ANALYSIS!$G$5,$C79&gt;=AE$23,$C79&lt;=AE$23+ANALYSIS!$G$6),1,0)</f>
        <v>0</v>
      </c>
      <c r="AV79">
        <f>IF(AND(BL79=0,$B79&gt;=AF$22,$B79&lt;=AF$22+ANALYSIS!$G$5,$C79&gt;=AF$23,$C79&lt;=AF$23+ANALYSIS!$G$6),1,0)</f>
        <v>0</v>
      </c>
      <c r="AX79">
        <v>0</v>
      </c>
      <c r="AY79">
        <f t="shared" si="13"/>
        <v>0</v>
      </c>
      <c r="AZ79">
        <f t="shared" si="14"/>
        <v>0</v>
      </c>
      <c r="BA79">
        <f t="shared" si="15"/>
        <v>0</v>
      </c>
      <c r="BB79">
        <f t="shared" si="16"/>
        <v>0</v>
      </c>
      <c r="BC79">
        <f t="shared" si="17"/>
        <v>1</v>
      </c>
      <c r="BD79">
        <f t="shared" si="18"/>
        <v>1</v>
      </c>
      <c r="BE79">
        <f t="shared" si="19"/>
        <v>1</v>
      </c>
      <c r="BF79">
        <f t="shared" si="20"/>
        <v>1</v>
      </c>
      <c r="BG79">
        <f t="shared" si="21"/>
        <v>1</v>
      </c>
      <c r="BH79">
        <f t="shared" si="22"/>
        <v>1</v>
      </c>
      <c r="BI79">
        <f t="shared" si="23"/>
        <v>1</v>
      </c>
      <c r="BJ79">
        <f t="shared" si="24"/>
        <v>1</v>
      </c>
      <c r="BK79">
        <f t="shared" si="25"/>
        <v>1</v>
      </c>
      <c r="BL79">
        <f t="shared" si="26"/>
        <v>1</v>
      </c>
      <c r="BM79">
        <f t="shared" si="27"/>
        <v>1</v>
      </c>
    </row>
    <row r="80" spans="1:65" x14ac:dyDescent="0.25">
      <c r="A80" s="41" t="str">
        <f>ANALYSIS!B86</f>
        <v>20-06</v>
      </c>
      <c r="B80" s="41">
        <f>ANALYSIS!E86</f>
        <v>56</v>
      </c>
      <c r="C80" s="41">
        <f>ANALYSIS!G86</f>
        <v>22.35</v>
      </c>
      <c r="D80" s="41">
        <f t="shared" si="12"/>
        <v>5</v>
      </c>
      <c r="R80" cm="1">
        <f t="array" ref="R80">IF(AX80&gt;0,0,SUMPRODUCT((AX$25:AX$124=0)*($B$25:$B$124&gt;=$B80)*($B$25:$B$124&lt;=$B80+ANALYSIS!$G$5)*($C$25:$C$124&gt;=$C80)*($C$25:$C$124&lt;=$C80+ANALYSIS!$G$6)))</f>
        <v>2</v>
      </c>
      <c r="S80" cm="1">
        <f t="array" ref="S80">IF(AY80&gt;0,0,SUMPRODUCT((AY$25:AY$124=0)*($B$25:$B$124&gt;=$B80)*($B$25:$B$124&lt;=$B80+ANALYSIS!$G$5)*($C$25:$C$124&gt;=$C80)*($C$25:$C$124&lt;=$C80+ANALYSIS!$G$6)))</f>
        <v>2</v>
      </c>
      <c r="T80" cm="1">
        <f t="array" ref="T80">IF(AZ80&gt;0,0,SUMPRODUCT((AZ$25:AZ$124=0)*($B$25:$B$124&gt;=$B80)*($B$25:$B$124&lt;=$B80+ANALYSIS!$G$5)*($C$25:$C$124&gt;=$C80)*($C$25:$C$124&lt;=$C80+ANALYSIS!$G$6)))</f>
        <v>2</v>
      </c>
      <c r="U80" cm="1">
        <f t="array" ref="U80">IF(BA80&gt;0,0,SUMPRODUCT((BA$25:BA$124=0)*($B$25:$B$124&gt;=$B80)*($B$25:$B$124&lt;=$B80+ANALYSIS!$G$5)*($C$25:$C$124&gt;=$C80)*($C$25:$C$124&lt;=$C80+ANALYSIS!$G$6)))</f>
        <v>2</v>
      </c>
      <c r="V80" cm="1">
        <f t="array" ref="V80">IF(BB80&gt;0,0,SUMPRODUCT((BB$25:BB$124=0)*($B$25:$B$124&gt;=$B80)*($B$25:$B$124&lt;=$B80+ANALYSIS!$G$5)*($C$25:$C$124&gt;=$C80)*($C$25:$C$124&lt;=$C80+ANALYSIS!$G$6)))</f>
        <v>2</v>
      </c>
      <c r="W80" cm="1">
        <f t="array" ref="W80">IF(BC80&gt;0,0,SUMPRODUCT((BC$25:BC$124=0)*($B$25:$B$124&gt;=$B80)*($B$25:$B$124&lt;=$B80+ANALYSIS!$G$5)*($C$25:$C$124&gt;=$C80)*($C$25:$C$124&lt;=$C80+ANALYSIS!$G$6)))</f>
        <v>0</v>
      </c>
      <c r="X80" cm="1">
        <f t="array" ref="X80">IF(BD80&gt;0,0,SUMPRODUCT((BD$25:BD$124=0)*($B$25:$B$124&gt;=$B80)*($B$25:$B$124&lt;=$B80+ANALYSIS!$G$5)*($C$25:$C$124&gt;=$C80)*($C$25:$C$124&lt;=$C80+ANALYSIS!$G$6)))</f>
        <v>0</v>
      </c>
      <c r="Y80" cm="1">
        <f t="array" ref="Y80">IF(BE80&gt;0,0,SUMPRODUCT((BE$25:BE$124=0)*($B$25:$B$124&gt;=$B80)*($B$25:$B$124&lt;=$B80+ANALYSIS!$G$5)*($C$25:$C$124&gt;=$C80)*($C$25:$C$124&lt;=$C80+ANALYSIS!$G$6)))</f>
        <v>0</v>
      </c>
      <c r="Z80" cm="1">
        <f t="array" ref="Z80">IF(BF80&gt;0,0,SUMPRODUCT((BF$25:BF$124=0)*($B$25:$B$124&gt;=$B80)*($B$25:$B$124&lt;=$B80+ANALYSIS!$G$5)*($C$25:$C$124&gt;=$C80)*($C$25:$C$124&lt;=$C80+ANALYSIS!$G$6)))</f>
        <v>0</v>
      </c>
      <c r="AA80" cm="1">
        <f t="array" ref="AA80">IF(BG80&gt;0,0,SUMPRODUCT((BG$25:BG$124=0)*($B$25:$B$124&gt;=$B80)*($B$25:$B$124&lt;=$B80+ANALYSIS!$G$5)*($C$25:$C$124&gt;=$C80)*($C$25:$C$124&lt;=$C80+ANALYSIS!$G$6)))</f>
        <v>0</v>
      </c>
      <c r="AB80" cm="1">
        <f t="array" ref="AB80">IF(BH80&gt;0,0,SUMPRODUCT((BH$25:BH$124=0)*($B$25:$B$124&gt;=$B80)*($B$25:$B$124&lt;=$B80+ANALYSIS!$G$5)*($C$25:$C$124&gt;=$C80)*($C$25:$C$124&lt;=$C80+ANALYSIS!$G$6)))</f>
        <v>0</v>
      </c>
      <c r="AC80" cm="1">
        <f t="array" ref="AC80">IF(BI80&gt;0,0,SUMPRODUCT((BI$25:BI$124=0)*($B$25:$B$124&gt;=$B80)*($B$25:$B$124&lt;=$B80+ANALYSIS!$G$5)*($C$25:$C$124&gt;=$C80)*($C$25:$C$124&lt;=$C80+ANALYSIS!$G$6)))</f>
        <v>0</v>
      </c>
      <c r="AD80" cm="1">
        <f t="array" ref="AD80">IF(BJ80&gt;0,0,SUMPRODUCT((BJ$25:BJ$124=0)*($B$25:$B$124&gt;=$B80)*($B$25:$B$124&lt;=$B80+ANALYSIS!$G$5)*($C$25:$C$124&gt;=$C80)*($C$25:$C$124&lt;=$C80+ANALYSIS!$G$6)))</f>
        <v>0</v>
      </c>
      <c r="AE80" cm="1">
        <f t="array" ref="AE80">IF(BK80&gt;0,0,SUMPRODUCT((BK$25:BK$124=0)*($B$25:$B$124&gt;=$B80)*($B$25:$B$124&lt;=$B80+ANALYSIS!$G$5)*($C$25:$C$124&gt;=$C80)*($C$25:$C$124&lt;=$C80+ANALYSIS!$G$6)))</f>
        <v>0</v>
      </c>
      <c r="AF80" cm="1">
        <f t="array" ref="AF80">IF(BL80&gt;0,0,SUMPRODUCT((BL$25:BL$124=0)*($B$25:$B$124&gt;=$B80)*($B$25:$B$124&lt;=$B80+ANALYSIS!$G$5)*($C$25:$C$124&gt;=$C80)*($C$25:$C$124&lt;=$C80+ANALYSIS!$G$6)))</f>
        <v>0</v>
      </c>
      <c r="AH80">
        <f>IF(AND(AX80=0,$B80&gt;=R$22,$B80&lt;=R$22+ANALYSIS!$G$5,$C80&gt;=R$23,$C80&lt;=R$23+ANALYSIS!$G$6),1,0)</f>
        <v>0</v>
      </c>
      <c r="AI80">
        <f>IF(AND(AY80=0,$B80&gt;=S$22,$B80&lt;=S$22+ANALYSIS!$G$5,$C80&gt;=S$23,$C80&lt;=S$23+ANALYSIS!$G$6),1,0)</f>
        <v>0</v>
      </c>
      <c r="AJ80">
        <f>IF(AND(AZ80=0,$B80&gt;=T$22,$B80&lt;=T$22+ANALYSIS!$G$5,$C80&gt;=T$23,$C80&lt;=T$23+ANALYSIS!$G$6),1,0)</f>
        <v>0</v>
      </c>
      <c r="AK80">
        <f>IF(AND(BA80=0,$B80&gt;=U$22,$B80&lt;=U$22+ANALYSIS!$G$5,$C80&gt;=U$23,$C80&lt;=U$23+ANALYSIS!$G$6),1,0)</f>
        <v>0</v>
      </c>
      <c r="AL80">
        <f>IF(AND(BB80=0,$B80&gt;=V$22,$B80&lt;=V$22+ANALYSIS!$G$5,$C80&gt;=V$23,$C80&lt;=V$23+ANALYSIS!$G$6),1,0)</f>
        <v>1</v>
      </c>
      <c r="AM80">
        <f>IF(AND(BC80=0,$B80&gt;=W$22,$B80&lt;=W$22+ANALYSIS!$G$5,$C80&gt;=W$23,$C80&lt;=W$23+ANALYSIS!$G$6),1,0)</f>
        <v>0</v>
      </c>
      <c r="AN80">
        <f>IF(AND(BD80=0,$B80&gt;=X$22,$B80&lt;=X$22+ANALYSIS!$G$5,$C80&gt;=X$23,$C80&lt;=X$23+ANALYSIS!$G$6),1,0)</f>
        <v>0</v>
      </c>
      <c r="AO80">
        <f>IF(AND(BE80=0,$B80&gt;=Y$22,$B80&lt;=Y$22+ANALYSIS!$G$5,$C80&gt;=Y$23,$C80&lt;=Y$23+ANALYSIS!$G$6),1,0)</f>
        <v>0</v>
      </c>
      <c r="AP80">
        <f>IF(AND(BF80=0,$B80&gt;=Z$22,$B80&lt;=Z$22+ANALYSIS!$G$5,$C80&gt;=Z$23,$C80&lt;=Z$23+ANALYSIS!$G$6),1,0)</f>
        <v>0</v>
      </c>
      <c r="AQ80">
        <f>IF(AND(BG80=0,$B80&gt;=AA$22,$B80&lt;=AA$22+ANALYSIS!$G$5,$C80&gt;=AA$23,$C80&lt;=AA$23+ANALYSIS!$G$6),1,0)</f>
        <v>0</v>
      </c>
      <c r="AR80">
        <f>IF(AND(BH80=0,$B80&gt;=AB$22,$B80&lt;=AB$22+ANALYSIS!$G$5,$C80&gt;=AB$23,$C80&lt;=AB$23+ANALYSIS!$G$6),1,0)</f>
        <v>0</v>
      </c>
      <c r="AS80">
        <f>IF(AND(BI80=0,$B80&gt;=AC$22,$B80&lt;=AC$22+ANALYSIS!$G$5,$C80&gt;=AC$23,$C80&lt;=AC$23+ANALYSIS!$G$6),1,0)</f>
        <v>0</v>
      </c>
      <c r="AT80">
        <f>IF(AND(BJ80=0,$B80&gt;=AD$22,$B80&lt;=AD$22+ANALYSIS!$G$5,$C80&gt;=AD$23,$C80&lt;=AD$23+ANALYSIS!$G$6),1,0)</f>
        <v>0</v>
      </c>
      <c r="AU80">
        <f>IF(AND(BK80=0,$B80&gt;=AE$22,$B80&lt;=AE$22+ANALYSIS!$G$5,$C80&gt;=AE$23,$C80&lt;=AE$23+ANALYSIS!$G$6),1,0)</f>
        <v>0</v>
      </c>
      <c r="AV80">
        <f>IF(AND(BL80=0,$B80&gt;=AF$22,$B80&lt;=AF$22+ANALYSIS!$G$5,$C80&gt;=AF$23,$C80&lt;=AF$23+ANALYSIS!$G$6),1,0)</f>
        <v>0</v>
      </c>
      <c r="AX80">
        <v>0</v>
      </c>
      <c r="AY80">
        <f t="shared" si="13"/>
        <v>0</v>
      </c>
      <c r="AZ80">
        <f t="shared" si="14"/>
        <v>0</v>
      </c>
      <c r="BA80">
        <f t="shared" si="15"/>
        <v>0</v>
      </c>
      <c r="BB80">
        <f t="shared" si="16"/>
        <v>0</v>
      </c>
      <c r="BC80">
        <f t="shared" si="17"/>
        <v>1</v>
      </c>
      <c r="BD80">
        <f t="shared" si="18"/>
        <v>1</v>
      </c>
      <c r="BE80">
        <f t="shared" si="19"/>
        <v>1</v>
      </c>
      <c r="BF80">
        <f t="shared" si="20"/>
        <v>1</v>
      </c>
      <c r="BG80">
        <f t="shared" si="21"/>
        <v>1</v>
      </c>
      <c r="BH80">
        <f t="shared" si="22"/>
        <v>1</v>
      </c>
      <c r="BI80">
        <f t="shared" si="23"/>
        <v>1</v>
      </c>
      <c r="BJ80">
        <f t="shared" si="24"/>
        <v>1</v>
      </c>
      <c r="BK80">
        <f t="shared" si="25"/>
        <v>1</v>
      </c>
      <c r="BL80">
        <f t="shared" si="26"/>
        <v>1</v>
      </c>
      <c r="BM80">
        <f t="shared" si="27"/>
        <v>1</v>
      </c>
    </row>
    <row r="81" spans="1:65" x14ac:dyDescent="0.25">
      <c r="A81" s="41" t="str">
        <f>ANALYSIS!B87</f>
        <v>20-07</v>
      </c>
      <c r="B81" s="41">
        <f>ANALYSIS!E87</f>
        <v>56</v>
      </c>
      <c r="C81" s="41">
        <f>ANALYSIS!G87</f>
        <v>23.35</v>
      </c>
      <c r="D81" s="41">
        <f t="shared" si="12"/>
        <v>2</v>
      </c>
      <c r="R81" cm="1">
        <f t="array" ref="R81">IF(AX81&gt;0,0,SUMPRODUCT((AX$25:AX$124=0)*($B$25:$B$124&gt;=$B81)*($B$25:$B$124&lt;=$B81+ANALYSIS!$G$5)*($C$25:$C$124&gt;=$C81)*($C$25:$C$124&lt;=$C81+ANALYSIS!$G$6)))</f>
        <v>6</v>
      </c>
      <c r="S81" cm="1">
        <f t="array" ref="S81">IF(AY81&gt;0,0,SUMPRODUCT((AY$25:AY$124=0)*($B$25:$B$124&gt;=$B81)*($B$25:$B$124&lt;=$B81+ANALYSIS!$G$5)*($C$25:$C$124&gt;=$C81)*($C$25:$C$124&lt;=$C81+ANALYSIS!$G$6)))</f>
        <v>6</v>
      </c>
      <c r="T81" cm="1">
        <f t="array" ref="T81">IF(AZ81&gt;0,0,SUMPRODUCT((AZ$25:AZ$124=0)*($B$25:$B$124&gt;=$B81)*($B$25:$B$124&lt;=$B81+ANALYSIS!$G$5)*($C$25:$C$124&gt;=$C81)*($C$25:$C$124&lt;=$C81+ANALYSIS!$G$6)))</f>
        <v>0</v>
      </c>
      <c r="U81" cm="1">
        <f t="array" ref="U81">IF(BA81&gt;0,0,SUMPRODUCT((BA$25:BA$124=0)*($B$25:$B$124&gt;=$B81)*($B$25:$B$124&lt;=$B81+ANALYSIS!$G$5)*($C$25:$C$124&gt;=$C81)*($C$25:$C$124&lt;=$C81+ANALYSIS!$G$6)))</f>
        <v>0</v>
      </c>
      <c r="V81" cm="1">
        <f t="array" ref="V81">IF(BB81&gt;0,0,SUMPRODUCT((BB$25:BB$124=0)*($B$25:$B$124&gt;=$B81)*($B$25:$B$124&lt;=$B81+ANALYSIS!$G$5)*($C$25:$C$124&gt;=$C81)*($C$25:$C$124&lt;=$C81+ANALYSIS!$G$6)))</f>
        <v>0</v>
      </c>
      <c r="W81" cm="1">
        <f t="array" ref="W81">IF(BC81&gt;0,0,SUMPRODUCT((BC$25:BC$124=0)*($B$25:$B$124&gt;=$B81)*($B$25:$B$124&lt;=$B81+ANALYSIS!$G$5)*($C$25:$C$124&gt;=$C81)*($C$25:$C$124&lt;=$C81+ANALYSIS!$G$6)))</f>
        <v>0</v>
      </c>
      <c r="X81" cm="1">
        <f t="array" ref="X81">IF(BD81&gt;0,0,SUMPRODUCT((BD$25:BD$124=0)*($B$25:$B$124&gt;=$B81)*($B$25:$B$124&lt;=$B81+ANALYSIS!$G$5)*($C$25:$C$124&gt;=$C81)*($C$25:$C$124&lt;=$C81+ANALYSIS!$G$6)))</f>
        <v>0</v>
      </c>
      <c r="Y81" cm="1">
        <f t="array" ref="Y81">IF(BE81&gt;0,0,SUMPRODUCT((BE$25:BE$124=0)*($B$25:$B$124&gt;=$B81)*($B$25:$B$124&lt;=$B81+ANALYSIS!$G$5)*($C$25:$C$124&gt;=$C81)*($C$25:$C$124&lt;=$C81+ANALYSIS!$G$6)))</f>
        <v>0</v>
      </c>
      <c r="Z81" cm="1">
        <f t="array" ref="Z81">IF(BF81&gt;0,0,SUMPRODUCT((BF$25:BF$124=0)*($B$25:$B$124&gt;=$B81)*($B$25:$B$124&lt;=$B81+ANALYSIS!$G$5)*($C$25:$C$124&gt;=$C81)*($C$25:$C$124&lt;=$C81+ANALYSIS!$G$6)))</f>
        <v>0</v>
      </c>
      <c r="AA81" cm="1">
        <f t="array" ref="AA81">IF(BG81&gt;0,0,SUMPRODUCT((BG$25:BG$124=0)*($B$25:$B$124&gt;=$B81)*($B$25:$B$124&lt;=$B81+ANALYSIS!$G$5)*($C$25:$C$124&gt;=$C81)*($C$25:$C$124&lt;=$C81+ANALYSIS!$G$6)))</f>
        <v>0</v>
      </c>
      <c r="AB81" cm="1">
        <f t="array" ref="AB81">IF(BH81&gt;0,0,SUMPRODUCT((BH$25:BH$124=0)*($B$25:$B$124&gt;=$B81)*($B$25:$B$124&lt;=$B81+ANALYSIS!$G$5)*($C$25:$C$124&gt;=$C81)*($C$25:$C$124&lt;=$C81+ANALYSIS!$G$6)))</f>
        <v>0</v>
      </c>
      <c r="AC81" cm="1">
        <f t="array" ref="AC81">IF(BI81&gt;0,0,SUMPRODUCT((BI$25:BI$124=0)*($B$25:$B$124&gt;=$B81)*($B$25:$B$124&lt;=$B81+ANALYSIS!$G$5)*($C$25:$C$124&gt;=$C81)*($C$25:$C$124&lt;=$C81+ANALYSIS!$G$6)))</f>
        <v>0</v>
      </c>
      <c r="AD81" cm="1">
        <f t="array" ref="AD81">IF(BJ81&gt;0,0,SUMPRODUCT((BJ$25:BJ$124=0)*($B$25:$B$124&gt;=$B81)*($B$25:$B$124&lt;=$B81+ANALYSIS!$G$5)*($C$25:$C$124&gt;=$C81)*($C$25:$C$124&lt;=$C81+ANALYSIS!$G$6)))</f>
        <v>0</v>
      </c>
      <c r="AE81" cm="1">
        <f t="array" ref="AE81">IF(BK81&gt;0,0,SUMPRODUCT((BK$25:BK$124=0)*($B$25:$B$124&gt;=$B81)*($B$25:$B$124&lt;=$B81+ANALYSIS!$G$5)*($C$25:$C$124&gt;=$C81)*($C$25:$C$124&lt;=$C81+ANALYSIS!$G$6)))</f>
        <v>0</v>
      </c>
      <c r="AF81" cm="1">
        <f t="array" ref="AF81">IF(BL81&gt;0,0,SUMPRODUCT((BL$25:BL$124=0)*($B$25:$B$124&gt;=$B81)*($B$25:$B$124&lt;=$B81+ANALYSIS!$G$5)*($C$25:$C$124&gt;=$C81)*($C$25:$C$124&lt;=$C81+ANALYSIS!$G$6)))</f>
        <v>0</v>
      </c>
      <c r="AH81">
        <f>IF(AND(AX81=0,$B81&gt;=R$22,$B81&lt;=R$22+ANALYSIS!$G$5,$C81&gt;=R$23,$C81&lt;=R$23+ANALYSIS!$G$6),1,0)</f>
        <v>0</v>
      </c>
      <c r="AI81">
        <f>IF(AND(AY81=0,$B81&gt;=S$22,$B81&lt;=S$22+ANALYSIS!$G$5,$C81&gt;=S$23,$C81&lt;=S$23+ANALYSIS!$G$6),1,0)</f>
        <v>1</v>
      </c>
      <c r="AJ81">
        <f>IF(AND(AZ81=0,$B81&gt;=T$22,$B81&lt;=T$22+ANALYSIS!$G$5,$C81&gt;=T$23,$C81&lt;=T$23+ANALYSIS!$G$6),1,0)</f>
        <v>0</v>
      </c>
      <c r="AK81">
        <f>IF(AND(BA81=0,$B81&gt;=U$22,$B81&lt;=U$22+ANALYSIS!$G$5,$C81&gt;=U$23,$C81&lt;=U$23+ANALYSIS!$G$6),1,0)</f>
        <v>0</v>
      </c>
      <c r="AL81">
        <f>IF(AND(BB81=0,$B81&gt;=V$22,$B81&lt;=V$22+ANALYSIS!$G$5,$C81&gt;=V$23,$C81&lt;=V$23+ANALYSIS!$G$6),1,0)</f>
        <v>0</v>
      </c>
      <c r="AM81">
        <f>IF(AND(BC81=0,$B81&gt;=W$22,$B81&lt;=W$22+ANALYSIS!$G$5,$C81&gt;=W$23,$C81&lt;=W$23+ANALYSIS!$G$6),1,0)</f>
        <v>0</v>
      </c>
      <c r="AN81">
        <f>IF(AND(BD81=0,$B81&gt;=X$22,$B81&lt;=X$22+ANALYSIS!$G$5,$C81&gt;=X$23,$C81&lt;=X$23+ANALYSIS!$G$6),1,0)</f>
        <v>0</v>
      </c>
      <c r="AO81">
        <f>IF(AND(BE81=0,$B81&gt;=Y$22,$B81&lt;=Y$22+ANALYSIS!$G$5,$C81&gt;=Y$23,$C81&lt;=Y$23+ANALYSIS!$G$6),1,0)</f>
        <v>0</v>
      </c>
      <c r="AP81">
        <f>IF(AND(BF81=0,$B81&gt;=Z$22,$B81&lt;=Z$22+ANALYSIS!$G$5,$C81&gt;=Z$23,$C81&lt;=Z$23+ANALYSIS!$G$6),1,0)</f>
        <v>0</v>
      </c>
      <c r="AQ81">
        <f>IF(AND(BG81=0,$B81&gt;=AA$22,$B81&lt;=AA$22+ANALYSIS!$G$5,$C81&gt;=AA$23,$C81&lt;=AA$23+ANALYSIS!$G$6),1,0)</f>
        <v>0</v>
      </c>
      <c r="AR81">
        <f>IF(AND(BH81=0,$B81&gt;=AB$22,$B81&lt;=AB$22+ANALYSIS!$G$5,$C81&gt;=AB$23,$C81&lt;=AB$23+ANALYSIS!$G$6),1,0)</f>
        <v>0</v>
      </c>
      <c r="AS81">
        <f>IF(AND(BI81=0,$B81&gt;=AC$22,$B81&lt;=AC$22+ANALYSIS!$G$5,$C81&gt;=AC$23,$C81&lt;=AC$23+ANALYSIS!$G$6),1,0)</f>
        <v>0</v>
      </c>
      <c r="AT81">
        <f>IF(AND(BJ81=0,$B81&gt;=AD$22,$B81&lt;=AD$22+ANALYSIS!$G$5,$C81&gt;=AD$23,$C81&lt;=AD$23+ANALYSIS!$G$6),1,0)</f>
        <v>0</v>
      </c>
      <c r="AU81">
        <f>IF(AND(BK81=0,$B81&gt;=AE$22,$B81&lt;=AE$22+ANALYSIS!$G$5,$C81&gt;=AE$23,$C81&lt;=AE$23+ANALYSIS!$G$6),1,0)</f>
        <v>0</v>
      </c>
      <c r="AV81">
        <f>IF(AND(BL81=0,$B81&gt;=AF$22,$B81&lt;=AF$22+ANALYSIS!$G$5,$C81&gt;=AF$23,$C81&lt;=AF$23+ANALYSIS!$G$6),1,0)</f>
        <v>0</v>
      </c>
      <c r="AX81">
        <v>0</v>
      </c>
      <c r="AY81">
        <f t="shared" si="13"/>
        <v>0</v>
      </c>
      <c r="AZ81">
        <f t="shared" si="14"/>
        <v>1</v>
      </c>
      <c r="BA81">
        <f t="shared" si="15"/>
        <v>1</v>
      </c>
      <c r="BB81">
        <f t="shared" si="16"/>
        <v>1</v>
      </c>
      <c r="BC81">
        <f t="shared" si="17"/>
        <v>1</v>
      </c>
      <c r="BD81">
        <f t="shared" si="18"/>
        <v>1</v>
      </c>
      <c r="BE81">
        <f t="shared" si="19"/>
        <v>1</v>
      </c>
      <c r="BF81">
        <f t="shared" si="20"/>
        <v>1</v>
      </c>
      <c r="BG81">
        <f t="shared" si="21"/>
        <v>1</v>
      </c>
      <c r="BH81">
        <f t="shared" si="22"/>
        <v>1</v>
      </c>
      <c r="BI81">
        <f t="shared" si="23"/>
        <v>1</v>
      </c>
      <c r="BJ81">
        <f t="shared" si="24"/>
        <v>1</v>
      </c>
      <c r="BK81">
        <f t="shared" si="25"/>
        <v>1</v>
      </c>
      <c r="BL81">
        <f t="shared" si="26"/>
        <v>1</v>
      </c>
      <c r="BM81">
        <f t="shared" si="27"/>
        <v>1</v>
      </c>
    </row>
    <row r="82" spans="1:65" x14ac:dyDescent="0.25">
      <c r="A82" s="41" t="str">
        <f>ANALYSIS!B88</f>
        <v>20-08</v>
      </c>
      <c r="B82" s="41">
        <f>ANALYSIS!E88</f>
        <v>57</v>
      </c>
      <c r="C82" s="41">
        <f>ANALYSIS!G88</f>
        <v>23.73</v>
      </c>
      <c r="D82" s="41">
        <f t="shared" si="12"/>
        <v>9</v>
      </c>
      <c r="R82" cm="1">
        <f t="array" ref="R82">IF(AX82&gt;0,0,SUMPRODUCT((AX$25:AX$124=0)*($B$25:$B$124&gt;=$B82)*($B$25:$B$124&lt;=$B82+ANALYSIS!$G$5)*($C$25:$C$124&gt;=$C82)*($C$25:$C$124&lt;=$C82+ANALYSIS!$G$6)))</f>
        <v>3</v>
      </c>
      <c r="S82" cm="1">
        <f t="array" ref="S82">IF(AY82&gt;0,0,SUMPRODUCT((AY$25:AY$124=0)*($B$25:$B$124&gt;=$B82)*($B$25:$B$124&lt;=$B82+ANALYSIS!$G$5)*($C$25:$C$124&gt;=$C82)*($C$25:$C$124&lt;=$C82+ANALYSIS!$G$6)))</f>
        <v>2</v>
      </c>
      <c r="T82" cm="1">
        <f t="array" ref="T82">IF(AZ82&gt;0,0,SUMPRODUCT((AZ$25:AZ$124=0)*($B$25:$B$124&gt;=$B82)*($B$25:$B$124&lt;=$B82+ANALYSIS!$G$5)*($C$25:$C$124&gt;=$C82)*($C$25:$C$124&lt;=$C82+ANALYSIS!$G$6)))</f>
        <v>2</v>
      </c>
      <c r="U82" cm="1">
        <f t="array" ref="U82">IF(BA82&gt;0,0,SUMPRODUCT((BA$25:BA$124=0)*($B$25:$B$124&gt;=$B82)*($B$25:$B$124&lt;=$B82+ANALYSIS!$G$5)*($C$25:$C$124&gt;=$C82)*($C$25:$C$124&lt;=$C82+ANALYSIS!$G$6)))</f>
        <v>2</v>
      </c>
      <c r="V82" cm="1">
        <f t="array" ref="V82">IF(BB82&gt;0,0,SUMPRODUCT((BB$25:BB$124=0)*($B$25:$B$124&gt;=$B82)*($B$25:$B$124&lt;=$B82+ANALYSIS!$G$5)*($C$25:$C$124&gt;=$C82)*($C$25:$C$124&lt;=$C82+ANALYSIS!$G$6)))</f>
        <v>2</v>
      </c>
      <c r="W82" cm="1">
        <f t="array" ref="W82">IF(BC82&gt;0,0,SUMPRODUCT((BC$25:BC$124=0)*($B$25:$B$124&gt;=$B82)*($B$25:$B$124&lt;=$B82+ANALYSIS!$G$5)*($C$25:$C$124&gt;=$C82)*($C$25:$C$124&lt;=$C82+ANALYSIS!$G$6)))</f>
        <v>2</v>
      </c>
      <c r="X82" cm="1">
        <f t="array" ref="X82">IF(BD82&gt;0,0,SUMPRODUCT((BD$25:BD$124=0)*($B$25:$B$124&gt;=$B82)*($B$25:$B$124&lt;=$B82+ANALYSIS!$G$5)*($C$25:$C$124&gt;=$C82)*($C$25:$C$124&lt;=$C82+ANALYSIS!$G$6)))</f>
        <v>2</v>
      </c>
      <c r="Y82" cm="1">
        <f t="array" ref="Y82">IF(BE82&gt;0,0,SUMPRODUCT((BE$25:BE$124=0)*($B$25:$B$124&gt;=$B82)*($B$25:$B$124&lt;=$B82+ANALYSIS!$G$5)*($C$25:$C$124&gt;=$C82)*($C$25:$C$124&lt;=$C82+ANALYSIS!$G$6)))</f>
        <v>2</v>
      </c>
      <c r="Z82" cm="1">
        <f t="array" ref="Z82">IF(BF82&gt;0,0,SUMPRODUCT((BF$25:BF$124=0)*($B$25:$B$124&gt;=$B82)*($B$25:$B$124&lt;=$B82+ANALYSIS!$G$5)*($C$25:$C$124&gt;=$C82)*($C$25:$C$124&lt;=$C82+ANALYSIS!$G$6)))</f>
        <v>2</v>
      </c>
      <c r="AA82" cm="1">
        <f t="array" ref="AA82">IF(BG82&gt;0,0,SUMPRODUCT((BG$25:BG$124=0)*($B$25:$B$124&gt;=$B82)*($B$25:$B$124&lt;=$B82+ANALYSIS!$G$5)*($C$25:$C$124&gt;=$C82)*($C$25:$C$124&lt;=$C82+ANALYSIS!$G$6)))</f>
        <v>0</v>
      </c>
      <c r="AB82" cm="1">
        <f t="array" ref="AB82">IF(BH82&gt;0,0,SUMPRODUCT((BH$25:BH$124=0)*($B$25:$B$124&gt;=$B82)*($B$25:$B$124&lt;=$B82+ANALYSIS!$G$5)*($C$25:$C$124&gt;=$C82)*($C$25:$C$124&lt;=$C82+ANALYSIS!$G$6)))</f>
        <v>0</v>
      </c>
      <c r="AC82" cm="1">
        <f t="array" ref="AC82">IF(BI82&gt;0,0,SUMPRODUCT((BI$25:BI$124=0)*($B$25:$B$124&gt;=$B82)*($B$25:$B$124&lt;=$B82+ANALYSIS!$G$5)*($C$25:$C$124&gt;=$C82)*($C$25:$C$124&lt;=$C82+ANALYSIS!$G$6)))</f>
        <v>0</v>
      </c>
      <c r="AD82" cm="1">
        <f t="array" ref="AD82">IF(BJ82&gt;0,0,SUMPRODUCT((BJ$25:BJ$124=0)*($B$25:$B$124&gt;=$B82)*($B$25:$B$124&lt;=$B82+ANALYSIS!$G$5)*($C$25:$C$124&gt;=$C82)*($C$25:$C$124&lt;=$C82+ANALYSIS!$G$6)))</f>
        <v>0</v>
      </c>
      <c r="AE82" cm="1">
        <f t="array" ref="AE82">IF(BK82&gt;0,0,SUMPRODUCT((BK$25:BK$124=0)*($B$25:$B$124&gt;=$B82)*($B$25:$B$124&lt;=$B82+ANALYSIS!$G$5)*($C$25:$C$124&gt;=$C82)*($C$25:$C$124&lt;=$C82+ANALYSIS!$G$6)))</f>
        <v>0</v>
      </c>
      <c r="AF82" cm="1">
        <f t="array" ref="AF82">IF(BL82&gt;0,0,SUMPRODUCT((BL$25:BL$124=0)*($B$25:$B$124&gt;=$B82)*($B$25:$B$124&lt;=$B82+ANALYSIS!$G$5)*($C$25:$C$124&gt;=$C82)*($C$25:$C$124&lt;=$C82+ANALYSIS!$G$6)))</f>
        <v>0</v>
      </c>
      <c r="AH82">
        <f>IF(AND(AX82=0,$B82&gt;=R$22,$B82&lt;=R$22+ANALYSIS!$G$5,$C82&gt;=R$23,$C82&lt;=R$23+ANALYSIS!$G$6),1,0)</f>
        <v>0</v>
      </c>
      <c r="AI82">
        <f>IF(AND(AY82=0,$B82&gt;=S$22,$B82&lt;=S$22+ANALYSIS!$G$5,$C82&gt;=S$23,$C82&lt;=S$23+ANALYSIS!$G$6),1,0)</f>
        <v>0</v>
      </c>
      <c r="AJ82">
        <f>IF(AND(AZ82=0,$B82&gt;=T$22,$B82&lt;=T$22+ANALYSIS!$G$5,$C82&gt;=T$23,$C82&lt;=T$23+ANALYSIS!$G$6),1,0)</f>
        <v>0</v>
      </c>
      <c r="AK82">
        <f>IF(AND(BA82=0,$B82&gt;=U$22,$B82&lt;=U$22+ANALYSIS!$G$5,$C82&gt;=U$23,$C82&lt;=U$23+ANALYSIS!$G$6),1,0)</f>
        <v>0</v>
      </c>
      <c r="AL82">
        <f>IF(AND(BB82=0,$B82&gt;=V$22,$B82&lt;=V$22+ANALYSIS!$G$5,$C82&gt;=V$23,$C82&lt;=V$23+ANALYSIS!$G$6),1,0)</f>
        <v>0</v>
      </c>
      <c r="AM82">
        <f>IF(AND(BC82=0,$B82&gt;=W$22,$B82&lt;=W$22+ANALYSIS!$G$5,$C82&gt;=W$23,$C82&lt;=W$23+ANALYSIS!$G$6),1,0)</f>
        <v>0</v>
      </c>
      <c r="AN82">
        <f>IF(AND(BD82=0,$B82&gt;=X$22,$B82&lt;=X$22+ANALYSIS!$G$5,$C82&gt;=X$23,$C82&lt;=X$23+ANALYSIS!$G$6),1,0)</f>
        <v>0</v>
      </c>
      <c r="AO82">
        <f>IF(AND(BE82=0,$B82&gt;=Y$22,$B82&lt;=Y$22+ANALYSIS!$G$5,$C82&gt;=Y$23,$C82&lt;=Y$23+ANALYSIS!$G$6),1,0)</f>
        <v>0</v>
      </c>
      <c r="AP82">
        <f>IF(AND(BF82=0,$B82&gt;=Z$22,$B82&lt;=Z$22+ANALYSIS!$G$5,$C82&gt;=Z$23,$C82&lt;=Z$23+ANALYSIS!$G$6),1,0)</f>
        <v>1</v>
      </c>
      <c r="AQ82">
        <f>IF(AND(BG82=0,$B82&gt;=AA$22,$B82&lt;=AA$22+ANALYSIS!$G$5,$C82&gt;=AA$23,$C82&lt;=AA$23+ANALYSIS!$G$6),1,0)</f>
        <v>0</v>
      </c>
      <c r="AR82">
        <f>IF(AND(BH82=0,$B82&gt;=AB$22,$B82&lt;=AB$22+ANALYSIS!$G$5,$C82&gt;=AB$23,$C82&lt;=AB$23+ANALYSIS!$G$6),1,0)</f>
        <v>0</v>
      </c>
      <c r="AS82">
        <f>IF(AND(BI82=0,$B82&gt;=AC$22,$B82&lt;=AC$22+ANALYSIS!$G$5,$C82&gt;=AC$23,$C82&lt;=AC$23+ANALYSIS!$G$6),1,0)</f>
        <v>0</v>
      </c>
      <c r="AT82">
        <f>IF(AND(BJ82=0,$B82&gt;=AD$22,$B82&lt;=AD$22+ANALYSIS!$G$5,$C82&gt;=AD$23,$C82&lt;=AD$23+ANALYSIS!$G$6),1,0)</f>
        <v>0</v>
      </c>
      <c r="AU82">
        <f>IF(AND(BK82=0,$B82&gt;=AE$22,$B82&lt;=AE$22+ANALYSIS!$G$5,$C82&gt;=AE$23,$C82&lt;=AE$23+ANALYSIS!$G$6),1,0)</f>
        <v>0</v>
      </c>
      <c r="AV82">
        <f>IF(AND(BL82=0,$B82&gt;=AF$22,$B82&lt;=AF$22+ANALYSIS!$G$5,$C82&gt;=AF$23,$C82&lt;=AF$23+ANALYSIS!$G$6),1,0)</f>
        <v>0</v>
      </c>
      <c r="AX82">
        <v>0</v>
      </c>
      <c r="AY82">
        <f t="shared" si="13"/>
        <v>0</v>
      </c>
      <c r="AZ82">
        <f t="shared" si="14"/>
        <v>0</v>
      </c>
      <c r="BA82">
        <f t="shared" si="15"/>
        <v>0</v>
      </c>
      <c r="BB82">
        <f t="shared" si="16"/>
        <v>0</v>
      </c>
      <c r="BC82">
        <f t="shared" si="17"/>
        <v>0</v>
      </c>
      <c r="BD82">
        <f t="shared" si="18"/>
        <v>0</v>
      </c>
      <c r="BE82">
        <f t="shared" si="19"/>
        <v>0</v>
      </c>
      <c r="BF82">
        <f t="shared" si="20"/>
        <v>0</v>
      </c>
      <c r="BG82">
        <f t="shared" si="21"/>
        <v>1</v>
      </c>
      <c r="BH82">
        <f t="shared" si="22"/>
        <v>1</v>
      </c>
      <c r="BI82">
        <f t="shared" si="23"/>
        <v>1</v>
      </c>
      <c r="BJ82">
        <f t="shared" si="24"/>
        <v>1</v>
      </c>
      <c r="BK82">
        <f t="shared" si="25"/>
        <v>1</v>
      </c>
      <c r="BL82">
        <f t="shared" si="26"/>
        <v>1</v>
      </c>
      <c r="BM82">
        <f t="shared" si="27"/>
        <v>1</v>
      </c>
    </row>
    <row r="83" spans="1:65" x14ac:dyDescent="0.25">
      <c r="A83" s="41" t="str">
        <f>ANALYSIS!B89</f>
        <v>20-09</v>
      </c>
      <c r="B83" s="41">
        <f>ANALYSIS!E89</f>
        <v>56</v>
      </c>
      <c r="C83" s="41">
        <f>ANALYSIS!G89</f>
        <v>25.21</v>
      </c>
      <c r="D83" s="41">
        <f t="shared" si="12"/>
        <v>3</v>
      </c>
      <c r="R83" cm="1">
        <f t="array" ref="R83">IF(AX83&gt;0,0,SUMPRODUCT((AX$25:AX$124=0)*($B$25:$B$124&gt;=$B83)*($B$25:$B$124&lt;=$B83+ANALYSIS!$G$5)*($C$25:$C$124&gt;=$C83)*($C$25:$C$124&lt;=$C83+ANALYSIS!$G$6)))</f>
        <v>6</v>
      </c>
      <c r="S83" cm="1">
        <f t="array" ref="S83">IF(AY83&gt;0,0,SUMPRODUCT((AY$25:AY$124=0)*($B$25:$B$124&gt;=$B83)*($B$25:$B$124&lt;=$B83+ANALYSIS!$G$5)*($C$25:$C$124&gt;=$C83)*($C$25:$C$124&lt;=$C83+ANALYSIS!$G$6)))</f>
        <v>6</v>
      </c>
      <c r="T83" cm="1">
        <f t="array" ref="T83">IF(AZ83&gt;0,0,SUMPRODUCT((AZ$25:AZ$124=0)*($B$25:$B$124&gt;=$B83)*($B$25:$B$124&lt;=$B83+ANALYSIS!$G$5)*($C$25:$C$124&gt;=$C83)*($C$25:$C$124&lt;=$C83+ANALYSIS!$G$6)))</f>
        <v>6</v>
      </c>
      <c r="U83" cm="1">
        <f t="array" ref="U83">IF(BA83&gt;0,0,SUMPRODUCT((BA$25:BA$124=0)*($B$25:$B$124&gt;=$B83)*($B$25:$B$124&lt;=$B83+ANALYSIS!$G$5)*($C$25:$C$124&gt;=$C83)*($C$25:$C$124&lt;=$C83+ANALYSIS!$G$6)))</f>
        <v>0</v>
      </c>
      <c r="V83" cm="1">
        <f t="array" ref="V83">IF(BB83&gt;0,0,SUMPRODUCT((BB$25:BB$124=0)*($B$25:$B$124&gt;=$B83)*($B$25:$B$124&lt;=$B83+ANALYSIS!$G$5)*($C$25:$C$124&gt;=$C83)*($C$25:$C$124&lt;=$C83+ANALYSIS!$G$6)))</f>
        <v>0</v>
      </c>
      <c r="W83" cm="1">
        <f t="array" ref="W83">IF(BC83&gt;0,0,SUMPRODUCT((BC$25:BC$124=0)*($B$25:$B$124&gt;=$B83)*($B$25:$B$124&lt;=$B83+ANALYSIS!$G$5)*($C$25:$C$124&gt;=$C83)*($C$25:$C$124&lt;=$C83+ANALYSIS!$G$6)))</f>
        <v>0</v>
      </c>
      <c r="X83" cm="1">
        <f t="array" ref="X83">IF(BD83&gt;0,0,SUMPRODUCT((BD$25:BD$124=0)*($B$25:$B$124&gt;=$B83)*($B$25:$B$124&lt;=$B83+ANALYSIS!$G$5)*($C$25:$C$124&gt;=$C83)*($C$25:$C$124&lt;=$C83+ANALYSIS!$G$6)))</f>
        <v>0</v>
      </c>
      <c r="Y83" cm="1">
        <f t="array" ref="Y83">IF(BE83&gt;0,0,SUMPRODUCT((BE$25:BE$124=0)*($B$25:$B$124&gt;=$B83)*($B$25:$B$124&lt;=$B83+ANALYSIS!$G$5)*($C$25:$C$124&gt;=$C83)*($C$25:$C$124&lt;=$C83+ANALYSIS!$G$6)))</f>
        <v>0</v>
      </c>
      <c r="Z83" cm="1">
        <f t="array" ref="Z83">IF(BF83&gt;0,0,SUMPRODUCT((BF$25:BF$124=0)*($B$25:$B$124&gt;=$B83)*($B$25:$B$124&lt;=$B83+ANALYSIS!$G$5)*($C$25:$C$124&gt;=$C83)*($C$25:$C$124&lt;=$C83+ANALYSIS!$G$6)))</f>
        <v>0</v>
      </c>
      <c r="AA83" cm="1">
        <f t="array" ref="AA83">IF(BG83&gt;0,0,SUMPRODUCT((BG$25:BG$124=0)*($B$25:$B$124&gt;=$B83)*($B$25:$B$124&lt;=$B83+ANALYSIS!$G$5)*($C$25:$C$124&gt;=$C83)*($C$25:$C$124&lt;=$C83+ANALYSIS!$G$6)))</f>
        <v>0</v>
      </c>
      <c r="AB83" cm="1">
        <f t="array" ref="AB83">IF(BH83&gt;0,0,SUMPRODUCT((BH$25:BH$124=0)*($B$25:$B$124&gt;=$B83)*($B$25:$B$124&lt;=$B83+ANALYSIS!$G$5)*($C$25:$C$124&gt;=$C83)*($C$25:$C$124&lt;=$C83+ANALYSIS!$G$6)))</f>
        <v>0</v>
      </c>
      <c r="AC83" cm="1">
        <f t="array" ref="AC83">IF(BI83&gt;0,0,SUMPRODUCT((BI$25:BI$124=0)*($B$25:$B$124&gt;=$B83)*($B$25:$B$124&lt;=$B83+ANALYSIS!$G$5)*($C$25:$C$124&gt;=$C83)*($C$25:$C$124&lt;=$C83+ANALYSIS!$G$6)))</f>
        <v>0</v>
      </c>
      <c r="AD83" cm="1">
        <f t="array" ref="AD83">IF(BJ83&gt;0,0,SUMPRODUCT((BJ$25:BJ$124=0)*($B$25:$B$124&gt;=$B83)*($B$25:$B$124&lt;=$B83+ANALYSIS!$G$5)*($C$25:$C$124&gt;=$C83)*($C$25:$C$124&lt;=$C83+ANALYSIS!$G$6)))</f>
        <v>0</v>
      </c>
      <c r="AE83" cm="1">
        <f t="array" ref="AE83">IF(BK83&gt;0,0,SUMPRODUCT((BK$25:BK$124=0)*($B$25:$B$124&gt;=$B83)*($B$25:$B$124&lt;=$B83+ANALYSIS!$G$5)*($C$25:$C$124&gt;=$C83)*($C$25:$C$124&lt;=$C83+ANALYSIS!$G$6)))</f>
        <v>0</v>
      </c>
      <c r="AF83" cm="1">
        <f t="array" ref="AF83">IF(BL83&gt;0,0,SUMPRODUCT((BL$25:BL$124=0)*($B$25:$B$124&gt;=$B83)*($B$25:$B$124&lt;=$B83+ANALYSIS!$G$5)*($C$25:$C$124&gt;=$C83)*($C$25:$C$124&lt;=$C83+ANALYSIS!$G$6)))</f>
        <v>0</v>
      </c>
      <c r="AH83">
        <f>IF(AND(AX83=0,$B83&gt;=R$22,$B83&lt;=R$22+ANALYSIS!$G$5,$C83&gt;=R$23,$C83&lt;=R$23+ANALYSIS!$G$6),1,0)</f>
        <v>0</v>
      </c>
      <c r="AI83">
        <f>IF(AND(AY83=0,$B83&gt;=S$22,$B83&lt;=S$22+ANALYSIS!$G$5,$C83&gt;=S$23,$C83&lt;=S$23+ANALYSIS!$G$6),1,0)</f>
        <v>0</v>
      </c>
      <c r="AJ83">
        <f>IF(AND(AZ83=0,$B83&gt;=T$22,$B83&lt;=T$22+ANALYSIS!$G$5,$C83&gt;=T$23,$C83&lt;=T$23+ANALYSIS!$G$6),1,0)</f>
        <v>1</v>
      </c>
      <c r="AK83">
        <f>IF(AND(BA83=0,$B83&gt;=U$22,$B83&lt;=U$22+ANALYSIS!$G$5,$C83&gt;=U$23,$C83&lt;=U$23+ANALYSIS!$G$6),1,0)</f>
        <v>0</v>
      </c>
      <c r="AL83">
        <f>IF(AND(BB83=0,$B83&gt;=V$22,$B83&lt;=V$22+ANALYSIS!$G$5,$C83&gt;=V$23,$C83&lt;=V$23+ANALYSIS!$G$6),1,0)</f>
        <v>0</v>
      </c>
      <c r="AM83">
        <f>IF(AND(BC83=0,$B83&gt;=W$22,$B83&lt;=W$22+ANALYSIS!$G$5,$C83&gt;=W$23,$C83&lt;=W$23+ANALYSIS!$G$6),1,0)</f>
        <v>0</v>
      </c>
      <c r="AN83">
        <f>IF(AND(BD83=0,$B83&gt;=X$22,$B83&lt;=X$22+ANALYSIS!$G$5,$C83&gt;=X$23,$C83&lt;=X$23+ANALYSIS!$G$6),1,0)</f>
        <v>0</v>
      </c>
      <c r="AO83">
        <f>IF(AND(BE83=0,$B83&gt;=Y$22,$B83&lt;=Y$22+ANALYSIS!$G$5,$C83&gt;=Y$23,$C83&lt;=Y$23+ANALYSIS!$G$6),1,0)</f>
        <v>0</v>
      </c>
      <c r="AP83">
        <f>IF(AND(BF83=0,$B83&gt;=Z$22,$B83&lt;=Z$22+ANALYSIS!$G$5,$C83&gt;=Z$23,$C83&lt;=Z$23+ANALYSIS!$G$6),1,0)</f>
        <v>0</v>
      </c>
      <c r="AQ83">
        <f>IF(AND(BG83=0,$B83&gt;=AA$22,$B83&lt;=AA$22+ANALYSIS!$G$5,$C83&gt;=AA$23,$C83&lt;=AA$23+ANALYSIS!$G$6),1,0)</f>
        <v>0</v>
      </c>
      <c r="AR83">
        <f>IF(AND(BH83=0,$B83&gt;=AB$22,$B83&lt;=AB$22+ANALYSIS!$G$5,$C83&gt;=AB$23,$C83&lt;=AB$23+ANALYSIS!$G$6),1,0)</f>
        <v>0</v>
      </c>
      <c r="AS83">
        <f>IF(AND(BI83=0,$B83&gt;=AC$22,$B83&lt;=AC$22+ANALYSIS!$G$5,$C83&gt;=AC$23,$C83&lt;=AC$23+ANALYSIS!$G$6),1,0)</f>
        <v>0</v>
      </c>
      <c r="AT83">
        <f>IF(AND(BJ83=0,$B83&gt;=AD$22,$B83&lt;=AD$22+ANALYSIS!$G$5,$C83&gt;=AD$23,$C83&lt;=AD$23+ANALYSIS!$G$6),1,0)</f>
        <v>0</v>
      </c>
      <c r="AU83">
        <f>IF(AND(BK83=0,$B83&gt;=AE$22,$B83&lt;=AE$22+ANALYSIS!$G$5,$C83&gt;=AE$23,$C83&lt;=AE$23+ANALYSIS!$G$6),1,0)</f>
        <v>0</v>
      </c>
      <c r="AV83">
        <f>IF(AND(BL83=0,$B83&gt;=AF$22,$B83&lt;=AF$22+ANALYSIS!$G$5,$C83&gt;=AF$23,$C83&lt;=AF$23+ANALYSIS!$G$6),1,0)</f>
        <v>0</v>
      </c>
      <c r="AX83">
        <v>0</v>
      </c>
      <c r="AY83">
        <f t="shared" si="13"/>
        <v>0</v>
      </c>
      <c r="AZ83">
        <f t="shared" si="14"/>
        <v>0</v>
      </c>
      <c r="BA83">
        <f t="shared" si="15"/>
        <v>1</v>
      </c>
      <c r="BB83">
        <f t="shared" si="16"/>
        <v>1</v>
      </c>
      <c r="BC83">
        <f t="shared" si="17"/>
        <v>1</v>
      </c>
      <c r="BD83">
        <f t="shared" si="18"/>
        <v>1</v>
      </c>
      <c r="BE83">
        <f t="shared" si="19"/>
        <v>1</v>
      </c>
      <c r="BF83">
        <f t="shared" si="20"/>
        <v>1</v>
      </c>
      <c r="BG83">
        <f t="shared" si="21"/>
        <v>1</v>
      </c>
      <c r="BH83">
        <f t="shared" si="22"/>
        <v>1</v>
      </c>
      <c r="BI83">
        <f t="shared" si="23"/>
        <v>1</v>
      </c>
      <c r="BJ83">
        <f t="shared" si="24"/>
        <v>1</v>
      </c>
      <c r="BK83">
        <f t="shared" si="25"/>
        <v>1</v>
      </c>
      <c r="BL83">
        <f t="shared" si="26"/>
        <v>1</v>
      </c>
      <c r="BM83">
        <f t="shared" si="27"/>
        <v>1</v>
      </c>
    </row>
    <row r="84" spans="1:65" x14ac:dyDescent="0.25">
      <c r="A84" s="41" t="str">
        <f>ANALYSIS!B90</f>
        <v>20-10</v>
      </c>
      <c r="B84" s="41">
        <f>ANALYSIS!E90</f>
        <v>56</v>
      </c>
      <c r="C84" s="41">
        <f>ANALYSIS!G90</f>
        <v>24.35</v>
      </c>
      <c r="D84" s="41">
        <f t="shared" si="12"/>
        <v>1</v>
      </c>
      <c r="R84" cm="1">
        <f t="array" ref="R84">IF(AX84&gt;0,0,SUMPRODUCT((AX$25:AX$124=0)*($B$25:$B$124&gt;=$B84)*($B$25:$B$124&lt;=$B84+ANALYSIS!$G$5)*($C$25:$C$124&gt;=$C84)*($C$25:$C$124&lt;=$C84+ANALYSIS!$G$6)))</f>
        <v>7</v>
      </c>
      <c r="S84" cm="1">
        <f t="array" ref="S84">IF(AY84&gt;0,0,SUMPRODUCT((AY$25:AY$124=0)*($B$25:$B$124&gt;=$B84)*($B$25:$B$124&lt;=$B84+ANALYSIS!$G$5)*($C$25:$C$124&gt;=$C84)*($C$25:$C$124&lt;=$C84+ANALYSIS!$G$6)))</f>
        <v>0</v>
      </c>
      <c r="T84" cm="1">
        <f t="array" ref="T84">IF(AZ84&gt;0,0,SUMPRODUCT((AZ$25:AZ$124=0)*($B$25:$B$124&gt;=$B84)*($B$25:$B$124&lt;=$B84+ANALYSIS!$G$5)*($C$25:$C$124&gt;=$C84)*($C$25:$C$124&lt;=$C84+ANALYSIS!$G$6)))</f>
        <v>0</v>
      </c>
      <c r="U84" cm="1">
        <f t="array" ref="U84">IF(BA84&gt;0,0,SUMPRODUCT((BA$25:BA$124=0)*($B$25:$B$124&gt;=$B84)*($B$25:$B$124&lt;=$B84+ANALYSIS!$G$5)*($C$25:$C$124&gt;=$C84)*($C$25:$C$124&lt;=$C84+ANALYSIS!$G$6)))</f>
        <v>0</v>
      </c>
      <c r="V84" cm="1">
        <f t="array" ref="V84">IF(BB84&gt;0,0,SUMPRODUCT((BB$25:BB$124=0)*($B$25:$B$124&gt;=$B84)*($B$25:$B$124&lt;=$B84+ANALYSIS!$G$5)*($C$25:$C$124&gt;=$C84)*($C$25:$C$124&lt;=$C84+ANALYSIS!$G$6)))</f>
        <v>0</v>
      </c>
      <c r="W84" cm="1">
        <f t="array" ref="W84">IF(BC84&gt;0,0,SUMPRODUCT((BC$25:BC$124=0)*($B$25:$B$124&gt;=$B84)*($B$25:$B$124&lt;=$B84+ANALYSIS!$G$5)*($C$25:$C$124&gt;=$C84)*($C$25:$C$124&lt;=$C84+ANALYSIS!$G$6)))</f>
        <v>0</v>
      </c>
      <c r="X84" cm="1">
        <f t="array" ref="X84">IF(BD84&gt;0,0,SUMPRODUCT((BD$25:BD$124=0)*($B$25:$B$124&gt;=$B84)*($B$25:$B$124&lt;=$B84+ANALYSIS!$G$5)*($C$25:$C$124&gt;=$C84)*($C$25:$C$124&lt;=$C84+ANALYSIS!$G$6)))</f>
        <v>0</v>
      </c>
      <c r="Y84" cm="1">
        <f t="array" ref="Y84">IF(BE84&gt;0,0,SUMPRODUCT((BE$25:BE$124=0)*($B$25:$B$124&gt;=$B84)*($B$25:$B$124&lt;=$B84+ANALYSIS!$G$5)*($C$25:$C$124&gt;=$C84)*($C$25:$C$124&lt;=$C84+ANALYSIS!$G$6)))</f>
        <v>0</v>
      </c>
      <c r="Z84" cm="1">
        <f t="array" ref="Z84">IF(BF84&gt;0,0,SUMPRODUCT((BF$25:BF$124=0)*($B$25:$B$124&gt;=$B84)*($B$25:$B$124&lt;=$B84+ANALYSIS!$G$5)*($C$25:$C$124&gt;=$C84)*($C$25:$C$124&lt;=$C84+ANALYSIS!$G$6)))</f>
        <v>0</v>
      </c>
      <c r="AA84" cm="1">
        <f t="array" ref="AA84">IF(BG84&gt;0,0,SUMPRODUCT((BG$25:BG$124=0)*($B$25:$B$124&gt;=$B84)*($B$25:$B$124&lt;=$B84+ANALYSIS!$G$5)*($C$25:$C$124&gt;=$C84)*($C$25:$C$124&lt;=$C84+ANALYSIS!$G$6)))</f>
        <v>0</v>
      </c>
      <c r="AB84" cm="1">
        <f t="array" ref="AB84">IF(BH84&gt;0,0,SUMPRODUCT((BH$25:BH$124=0)*($B$25:$B$124&gt;=$B84)*($B$25:$B$124&lt;=$B84+ANALYSIS!$G$5)*($C$25:$C$124&gt;=$C84)*($C$25:$C$124&lt;=$C84+ANALYSIS!$G$6)))</f>
        <v>0</v>
      </c>
      <c r="AC84" cm="1">
        <f t="array" ref="AC84">IF(BI84&gt;0,0,SUMPRODUCT((BI$25:BI$124=0)*($B$25:$B$124&gt;=$B84)*($B$25:$B$124&lt;=$B84+ANALYSIS!$G$5)*($C$25:$C$124&gt;=$C84)*($C$25:$C$124&lt;=$C84+ANALYSIS!$G$6)))</f>
        <v>0</v>
      </c>
      <c r="AD84" cm="1">
        <f t="array" ref="AD84">IF(BJ84&gt;0,0,SUMPRODUCT((BJ$25:BJ$124=0)*($B$25:$B$124&gt;=$B84)*($B$25:$B$124&lt;=$B84+ANALYSIS!$G$5)*($C$25:$C$124&gt;=$C84)*($C$25:$C$124&lt;=$C84+ANALYSIS!$G$6)))</f>
        <v>0</v>
      </c>
      <c r="AE84" cm="1">
        <f t="array" ref="AE84">IF(BK84&gt;0,0,SUMPRODUCT((BK$25:BK$124=0)*($B$25:$B$124&gt;=$B84)*($B$25:$B$124&lt;=$B84+ANALYSIS!$G$5)*($C$25:$C$124&gt;=$C84)*($C$25:$C$124&lt;=$C84+ANALYSIS!$G$6)))</f>
        <v>0</v>
      </c>
      <c r="AF84" cm="1">
        <f t="array" ref="AF84">IF(BL84&gt;0,0,SUMPRODUCT((BL$25:BL$124=0)*($B$25:$B$124&gt;=$B84)*($B$25:$B$124&lt;=$B84+ANALYSIS!$G$5)*($C$25:$C$124&gt;=$C84)*($C$25:$C$124&lt;=$C84+ANALYSIS!$G$6)))</f>
        <v>0</v>
      </c>
      <c r="AH84">
        <f>IF(AND(AX84=0,$B84&gt;=R$22,$B84&lt;=R$22+ANALYSIS!$G$5,$C84&gt;=R$23,$C84&lt;=R$23+ANALYSIS!$G$6),1,0)</f>
        <v>1</v>
      </c>
      <c r="AI84">
        <f>IF(AND(AY84=0,$B84&gt;=S$22,$B84&lt;=S$22+ANALYSIS!$G$5,$C84&gt;=S$23,$C84&lt;=S$23+ANALYSIS!$G$6),1,0)</f>
        <v>0</v>
      </c>
      <c r="AJ84">
        <f>IF(AND(AZ84=0,$B84&gt;=T$22,$B84&lt;=T$22+ANALYSIS!$G$5,$C84&gt;=T$23,$C84&lt;=T$23+ANALYSIS!$G$6),1,0)</f>
        <v>0</v>
      </c>
      <c r="AK84">
        <f>IF(AND(BA84=0,$B84&gt;=U$22,$B84&lt;=U$22+ANALYSIS!$G$5,$C84&gt;=U$23,$C84&lt;=U$23+ANALYSIS!$G$6),1,0)</f>
        <v>0</v>
      </c>
      <c r="AL84">
        <f>IF(AND(BB84=0,$B84&gt;=V$22,$B84&lt;=V$22+ANALYSIS!$G$5,$C84&gt;=V$23,$C84&lt;=V$23+ANALYSIS!$G$6),1,0)</f>
        <v>0</v>
      </c>
      <c r="AM84">
        <f>IF(AND(BC84=0,$B84&gt;=W$22,$B84&lt;=W$22+ANALYSIS!$G$5,$C84&gt;=W$23,$C84&lt;=W$23+ANALYSIS!$G$6),1,0)</f>
        <v>0</v>
      </c>
      <c r="AN84">
        <f>IF(AND(BD84=0,$B84&gt;=X$22,$B84&lt;=X$22+ANALYSIS!$G$5,$C84&gt;=X$23,$C84&lt;=X$23+ANALYSIS!$G$6),1,0)</f>
        <v>0</v>
      </c>
      <c r="AO84">
        <f>IF(AND(BE84=0,$B84&gt;=Y$22,$B84&lt;=Y$22+ANALYSIS!$G$5,$C84&gt;=Y$23,$C84&lt;=Y$23+ANALYSIS!$G$6),1,0)</f>
        <v>0</v>
      </c>
      <c r="AP84">
        <f>IF(AND(BF84=0,$B84&gt;=Z$22,$B84&lt;=Z$22+ANALYSIS!$G$5,$C84&gt;=Z$23,$C84&lt;=Z$23+ANALYSIS!$G$6),1,0)</f>
        <v>0</v>
      </c>
      <c r="AQ84">
        <f>IF(AND(BG84=0,$B84&gt;=AA$22,$B84&lt;=AA$22+ANALYSIS!$G$5,$C84&gt;=AA$23,$C84&lt;=AA$23+ANALYSIS!$G$6),1,0)</f>
        <v>0</v>
      </c>
      <c r="AR84">
        <f>IF(AND(BH84=0,$B84&gt;=AB$22,$B84&lt;=AB$22+ANALYSIS!$G$5,$C84&gt;=AB$23,$C84&lt;=AB$23+ANALYSIS!$G$6),1,0)</f>
        <v>0</v>
      </c>
      <c r="AS84">
        <f>IF(AND(BI84=0,$B84&gt;=AC$22,$B84&lt;=AC$22+ANALYSIS!$G$5,$C84&gt;=AC$23,$C84&lt;=AC$23+ANALYSIS!$G$6),1,0)</f>
        <v>0</v>
      </c>
      <c r="AT84">
        <f>IF(AND(BJ84=0,$B84&gt;=AD$22,$B84&lt;=AD$22+ANALYSIS!$G$5,$C84&gt;=AD$23,$C84&lt;=AD$23+ANALYSIS!$G$6),1,0)</f>
        <v>0</v>
      </c>
      <c r="AU84">
        <f>IF(AND(BK84=0,$B84&gt;=AE$22,$B84&lt;=AE$22+ANALYSIS!$G$5,$C84&gt;=AE$23,$C84&lt;=AE$23+ANALYSIS!$G$6),1,0)</f>
        <v>0</v>
      </c>
      <c r="AV84">
        <f>IF(AND(BL84=0,$B84&gt;=AF$22,$B84&lt;=AF$22+ANALYSIS!$G$5,$C84&gt;=AF$23,$C84&lt;=AF$23+ANALYSIS!$G$6),1,0)</f>
        <v>0</v>
      </c>
      <c r="AX84">
        <v>0</v>
      </c>
      <c r="AY84">
        <f t="shared" si="13"/>
        <v>1</v>
      </c>
      <c r="AZ84">
        <f t="shared" si="14"/>
        <v>1</v>
      </c>
      <c r="BA84">
        <f t="shared" si="15"/>
        <v>1</v>
      </c>
      <c r="BB84">
        <f t="shared" si="16"/>
        <v>1</v>
      </c>
      <c r="BC84">
        <f t="shared" si="17"/>
        <v>1</v>
      </c>
      <c r="BD84">
        <f t="shared" si="18"/>
        <v>1</v>
      </c>
      <c r="BE84">
        <f t="shared" si="19"/>
        <v>1</v>
      </c>
      <c r="BF84">
        <f t="shared" si="20"/>
        <v>1</v>
      </c>
      <c r="BG84">
        <f t="shared" si="21"/>
        <v>1</v>
      </c>
      <c r="BH84">
        <f t="shared" si="22"/>
        <v>1</v>
      </c>
      <c r="BI84">
        <f t="shared" si="23"/>
        <v>1</v>
      </c>
      <c r="BJ84">
        <f t="shared" si="24"/>
        <v>1</v>
      </c>
      <c r="BK84">
        <f t="shared" si="25"/>
        <v>1</v>
      </c>
      <c r="BL84">
        <f t="shared" si="26"/>
        <v>1</v>
      </c>
      <c r="BM84">
        <f t="shared" si="27"/>
        <v>1</v>
      </c>
    </row>
    <row r="85" spans="1:65" x14ac:dyDescent="0.25">
      <c r="A85" s="41" t="str">
        <f>ANALYSIS!B91</f>
        <v>20-11</v>
      </c>
      <c r="B85" s="41">
        <f>ANALYSIS!E91</f>
        <v>55</v>
      </c>
      <c r="C85" s="41">
        <f>ANALYSIS!G91</f>
        <v>24.56</v>
      </c>
      <c r="D85" s="41">
        <f t="shared" si="12"/>
        <v>10</v>
      </c>
      <c r="R85" cm="1">
        <f t="array" ref="R85">IF(AX85&gt;0,0,SUMPRODUCT((AX$25:AX$124=0)*($B$25:$B$124&gt;=$B85)*($B$25:$B$124&lt;=$B85+ANALYSIS!$G$5)*($C$25:$C$124&gt;=$C85)*($C$25:$C$124&lt;=$C85+ANALYSIS!$G$6)))</f>
        <v>4</v>
      </c>
      <c r="S85" cm="1">
        <f t="array" ref="S85">IF(AY85&gt;0,0,SUMPRODUCT((AY$25:AY$124=0)*($B$25:$B$124&gt;=$B85)*($B$25:$B$124&lt;=$B85+ANALYSIS!$G$5)*($C$25:$C$124&gt;=$C85)*($C$25:$C$124&lt;=$C85+ANALYSIS!$G$6)))</f>
        <v>4</v>
      </c>
      <c r="T85" cm="1">
        <f t="array" ref="T85">IF(AZ85&gt;0,0,SUMPRODUCT((AZ$25:AZ$124=0)*($B$25:$B$124&gt;=$B85)*($B$25:$B$124&lt;=$B85+ANALYSIS!$G$5)*($C$25:$C$124&gt;=$C85)*($C$25:$C$124&lt;=$C85+ANALYSIS!$G$6)))</f>
        <v>4</v>
      </c>
      <c r="U85" cm="1">
        <f t="array" ref="U85">IF(BA85&gt;0,0,SUMPRODUCT((BA$25:BA$124=0)*($B$25:$B$124&gt;=$B85)*($B$25:$B$124&lt;=$B85+ANALYSIS!$G$5)*($C$25:$C$124&gt;=$C85)*($C$25:$C$124&lt;=$C85+ANALYSIS!$G$6)))</f>
        <v>4</v>
      </c>
      <c r="V85" cm="1">
        <f t="array" ref="V85">IF(BB85&gt;0,0,SUMPRODUCT((BB$25:BB$124=0)*($B$25:$B$124&gt;=$B85)*($B$25:$B$124&lt;=$B85+ANALYSIS!$G$5)*($C$25:$C$124&gt;=$C85)*($C$25:$C$124&lt;=$C85+ANALYSIS!$G$6)))</f>
        <v>4</v>
      </c>
      <c r="W85" cm="1">
        <f t="array" ref="W85">IF(BC85&gt;0,0,SUMPRODUCT((BC$25:BC$124=0)*($B$25:$B$124&gt;=$B85)*($B$25:$B$124&lt;=$B85+ANALYSIS!$G$5)*($C$25:$C$124&gt;=$C85)*($C$25:$C$124&lt;=$C85+ANALYSIS!$G$6)))</f>
        <v>4</v>
      </c>
      <c r="X85" cm="1">
        <f t="array" ref="X85">IF(BD85&gt;0,0,SUMPRODUCT((BD$25:BD$124=0)*($B$25:$B$124&gt;=$B85)*($B$25:$B$124&lt;=$B85+ANALYSIS!$G$5)*($C$25:$C$124&gt;=$C85)*($C$25:$C$124&lt;=$C85+ANALYSIS!$G$6)))</f>
        <v>4</v>
      </c>
      <c r="Y85" cm="1">
        <f t="array" ref="Y85">IF(BE85&gt;0,0,SUMPRODUCT((BE$25:BE$124=0)*($B$25:$B$124&gt;=$B85)*($B$25:$B$124&lt;=$B85+ANALYSIS!$G$5)*($C$25:$C$124&gt;=$C85)*($C$25:$C$124&lt;=$C85+ANALYSIS!$G$6)))</f>
        <v>4</v>
      </c>
      <c r="Z85" cm="1">
        <f t="array" ref="Z85">IF(BF85&gt;0,0,SUMPRODUCT((BF$25:BF$124=0)*($B$25:$B$124&gt;=$B85)*($B$25:$B$124&lt;=$B85+ANALYSIS!$G$5)*($C$25:$C$124&gt;=$C85)*($C$25:$C$124&lt;=$C85+ANALYSIS!$G$6)))</f>
        <v>4</v>
      </c>
      <c r="AA85" cm="1">
        <f t="array" ref="AA85">IF(BG85&gt;0,0,SUMPRODUCT((BG$25:BG$124=0)*($B$25:$B$124&gt;=$B85)*($B$25:$B$124&lt;=$B85+ANALYSIS!$G$5)*($C$25:$C$124&gt;=$C85)*($C$25:$C$124&lt;=$C85+ANALYSIS!$G$6)))</f>
        <v>4</v>
      </c>
      <c r="AB85" cm="1">
        <f t="array" ref="AB85">IF(BH85&gt;0,0,SUMPRODUCT((BH$25:BH$124=0)*($B$25:$B$124&gt;=$B85)*($B$25:$B$124&lt;=$B85+ANALYSIS!$G$5)*($C$25:$C$124&gt;=$C85)*($C$25:$C$124&lt;=$C85+ANALYSIS!$G$6)))</f>
        <v>0</v>
      </c>
      <c r="AC85" cm="1">
        <f t="array" ref="AC85">IF(BI85&gt;0,0,SUMPRODUCT((BI$25:BI$124=0)*($B$25:$B$124&gt;=$B85)*($B$25:$B$124&lt;=$B85+ANALYSIS!$G$5)*($C$25:$C$124&gt;=$C85)*($C$25:$C$124&lt;=$C85+ANALYSIS!$G$6)))</f>
        <v>0</v>
      </c>
      <c r="AD85" cm="1">
        <f t="array" ref="AD85">IF(BJ85&gt;0,0,SUMPRODUCT((BJ$25:BJ$124=0)*($B$25:$B$124&gt;=$B85)*($B$25:$B$124&lt;=$B85+ANALYSIS!$G$5)*($C$25:$C$124&gt;=$C85)*($C$25:$C$124&lt;=$C85+ANALYSIS!$G$6)))</f>
        <v>0</v>
      </c>
      <c r="AE85" cm="1">
        <f t="array" ref="AE85">IF(BK85&gt;0,0,SUMPRODUCT((BK$25:BK$124=0)*($B$25:$B$124&gt;=$B85)*($B$25:$B$124&lt;=$B85+ANALYSIS!$G$5)*($C$25:$C$124&gt;=$C85)*($C$25:$C$124&lt;=$C85+ANALYSIS!$G$6)))</f>
        <v>0</v>
      </c>
      <c r="AF85" cm="1">
        <f t="array" ref="AF85">IF(BL85&gt;0,0,SUMPRODUCT((BL$25:BL$124=0)*($B$25:$B$124&gt;=$B85)*($B$25:$B$124&lt;=$B85+ANALYSIS!$G$5)*($C$25:$C$124&gt;=$C85)*($C$25:$C$124&lt;=$C85+ANALYSIS!$G$6)))</f>
        <v>0</v>
      </c>
      <c r="AH85">
        <f>IF(AND(AX85=0,$B85&gt;=R$22,$B85&lt;=R$22+ANALYSIS!$G$5,$C85&gt;=R$23,$C85&lt;=R$23+ANALYSIS!$G$6),1,0)</f>
        <v>0</v>
      </c>
      <c r="AI85">
        <f>IF(AND(AY85=0,$B85&gt;=S$22,$B85&lt;=S$22+ANALYSIS!$G$5,$C85&gt;=S$23,$C85&lt;=S$23+ANALYSIS!$G$6),1,0)</f>
        <v>0</v>
      </c>
      <c r="AJ85">
        <f>IF(AND(AZ85=0,$B85&gt;=T$22,$B85&lt;=T$22+ANALYSIS!$G$5,$C85&gt;=T$23,$C85&lt;=T$23+ANALYSIS!$G$6),1,0)</f>
        <v>0</v>
      </c>
      <c r="AK85">
        <f>IF(AND(BA85=0,$B85&gt;=U$22,$B85&lt;=U$22+ANALYSIS!$G$5,$C85&gt;=U$23,$C85&lt;=U$23+ANALYSIS!$G$6),1,0)</f>
        <v>0</v>
      </c>
      <c r="AL85">
        <f>IF(AND(BB85=0,$B85&gt;=V$22,$B85&lt;=V$22+ANALYSIS!$G$5,$C85&gt;=V$23,$C85&lt;=V$23+ANALYSIS!$G$6),1,0)</f>
        <v>0</v>
      </c>
      <c r="AM85">
        <f>IF(AND(BC85=0,$B85&gt;=W$22,$B85&lt;=W$22+ANALYSIS!$G$5,$C85&gt;=W$23,$C85&lt;=W$23+ANALYSIS!$G$6),1,0)</f>
        <v>0</v>
      </c>
      <c r="AN85">
        <f>IF(AND(BD85=0,$B85&gt;=X$22,$B85&lt;=X$22+ANALYSIS!$G$5,$C85&gt;=X$23,$C85&lt;=X$23+ANALYSIS!$G$6),1,0)</f>
        <v>0</v>
      </c>
      <c r="AO85">
        <f>IF(AND(BE85=0,$B85&gt;=Y$22,$B85&lt;=Y$22+ANALYSIS!$G$5,$C85&gt;=Y$23,$C85&lt;=Y$23+ANALYSIS!$G$6),1,0)</f>
        <v>0</v>
      </c>
      <c r="AP85">
        <f>IF(AND(BF85=0,$B85&gt;=Z$22,$B85&lt;=Z$22+ANALYSIS!$G$5,$C85&gt;=Z$23,$C85&lt;=Z$23+ANALYSIS!$G$6),1,0)</f>
        <v>0</v>
      </c>
      <c r="AQ85">
        <f>IF(AND(BG85=0,$B85&gt;=AA$22,$B85&lt;=AA$22+ANALYSIS!$G$5,$C85&gt;=AA$23,$C85&lt;=AA$23+ANALYSIS!$G$6),1,0)</f>
        <v>1</v>
      </c>
      <c r="AR85">
        <f>IF(AND(BH85=0,$B85&gt;=AB$22,$B85&lt;=AB$22+ANALYSIS!$G$5,$C85&gt;=AB$23,$C85&lt;=AB$23+ANALYSIS!$G$6),1,0)</f>
        <v>0</v>
      </c>
      <c r="AS85">
        <f>IF(AND(BI85=0,$B85&gt;=AC$22,$B85&lt;=AC$22+ANALYSIS!$G$5,$C85&gt;=AC$23,$C85&lt;=AC$23+ANALYSIS!$G$6),1,0)</f>
        <v>0</v>
      </c>
      <c r="AT85">
        <f>IF(AND(BJ85=0,$B85&gt;=AD$22,$B85&lt;=AD$22+ANALYSIS!$G$5,$C85&gt;=AD$23,$C85&lt;=AD$23+ANALYSIS!$G$6),1,0)</f>
        <v>0</v>
      </c>
      <c r="AU85">
        <f>IF(AND(BK85=0,$B85&gt;=AE$22,$B85&lt;=AE$22+ANALYSIS!$G$5,$C85&gt;=AE$23,$C85&lt;=AE$23+ANALYSIS!$G$6),1,0)</f>
        <v>0</v>
      </c>
      <c r="AV85">
        <f>IF(AND(BL85=0,$B85&gt;=AF$22,$B85&lt;=AF$22+ANALYSIS!$G$5,$C85&gt;=AF$23,$C85&lt;=AF$23+ANALYSIS!$G$6),1,0)</f>
        <v>0</v>
      </c>
      <c r="AX85">
        <v>0</v>
      </c>
      <c r="AY85">
        <f t="shared" si="13"/>
        <v>0</v>
      </c>
      <c r="AZ85">
        <f t="shared" si="14"/>
        <v>0</v>
      </c>
      <c r="BA85">
        <f t="shared" si="15"/>
        <v>0</v>
      </c>
      <c r="BB85">
        <f t="shared" si="16"/>
        <v>0</v>
      </c>
      <c r="BC85">
        <f t="shared" si="17"/>
        <v>0</v>
      </c>
      <c r="BD85">
        <f t="shared" si="18"/>
        <v>0</v>
      </c>
      <c r="BE85">
        <f t="shared" si="19"/>
        <v>0</v>
      </c>
      <c r="BF85">
        <f t="shared" si="20"/>
        <v>0</v>
      </c>
      <c r="BG85">
        <f t="shared" si="21"/>
        <v>0</v>
      </c>
      <c r="BH85">
        <f t="shared" si="22"/>
        <v>1</v>
      </c>
      <c r="BI85">
        <f t="shared" si="23"/>
        <v>1</v>
      </c>
      <c r="BJ85">
        <f t="shared" si="24"/>
        <v>1</v>
      </c>
      <c r="BK85">
        <f t="shared" si="25"/>
        <v>1</v>
      </c>
      <c r="BL85">
        <f t="shared" si="26"/>
        <v>1</v>
      </c>
      <c r="BM85">
        <f t="shared" si="27"/>
        <v>1</v>
      </c>
    </row>
    <row r="86" spans="1:65" x14ac:dyDescent="0.25">
      <c r="A86" s="41" t="str">
        <f>ANALYSIS!B92</f>
        <v>20-12</v>
      </c>
      <c r="B86" s="41">
        <f>ANALYSIS!E92</f>
        <v>55</v>
      </c>
      <c r="C86" s="41">
        <f>ANALYSIS!G92</f>
        <v>22.45</v>
      </c>
      <c r="D86" s="41">
        <f t="shared" si="12"/>
        <v>5</v>
      </c>
      <c r="R86" cm="1">
        <f t="array" ref="R86">IF(AX86&gt;0,0,SUMPRODUCT((AX$25:AX$124=0)*($B$25:$B$124&gt;=$B86)*($B$25:$B$124&lt;=$B86+ANALYSIS!$G$5)*($C$25:$C$124&gt;=$C86)*($C$25:$C$124&lt;=$C86+ANALYSIS!$G$6)))</f>
        <v>4</v>
      </c>
      <c r="S86" cm="1">
        <f t="array" ref="S86">IF(AY86&gt;0,0,SUMPRODUCT((AY$25:AY$124=0)*($B$25:$B$124&gt;=$B86)*($B$25:$B$124&lt;=$B86+ANALYSIS!$G$5)*($C$25:$C$124&gt;=$C86)*($C$25:$C$124&lt;=$C86+ANALYSIS!$G$6)))</f>
        <v>4</v>
      </c>
      <c r="T86" cm="1">
        <f t="array" ref="T86">IF(AZ86&gt;0,0,SUMPRODUCT((AZ$25:AZ$124=0)*($B$25:$B$124&gt;=$B86)*($B$25:$B$124&lt;=$B86+ANALYSIS!$G$5)*($C$25:$C$124&gt;=$C86)*($C$25:$C$124&lt;=$C86+ANALYSIS!$G$6)))</f>
        <v>4</v>
      </c>
      <c r="U86" cm="1">
        <f t="array" ref="U86">IF(BA86&gt;0,0,SUMPRODUCT((BA$25:BA$124=0)*($B$25:$B$124&gt;=$B86)*($B$25:$B$124&lt;=$B86+ANALYSIS!$G$5)*($C$25:$C$124&gt;=$C86)*($C$25:$C$124&lt;=$C86+ANALYSIS!$G$6)))</f>
        <v>4</v>
      </c>
      <c r="V86" cm="1">
        <f t="array" ref="V86">IF(BB86&gt;0,0,SUMPRODUCT((BB$25:BB$124=0)*($B$25:$B$124&gt;=$B86)*($B$25:$B$124&lt;=$B86+ANALYSIS!$G$5)*($C$25:$C$124&gt;=$C86)*($C$25:$C$124&lt;=$C86+ANALYSIS!$G$6)))</f>
        <v>4</v>
      </c>
      <c r="W86" cm="1">
        <f t="array" ref="W86">IF(BC86&gt;0,0,SUMPRODUCT((BC$25:BC$124=0)*($B$25:$B$124&gt;=$B86)*($B$25:$B$124&lt;=$B86+ANALYSIS!$G$5)*($C$25:$C$124&gt;=$C86)*($C$25:$C$124&lt;=$C86+ANALYSIS!$G$6)))</f>
        <v>0</v>
      </c>
      <c r="X86" cm="1">
        <f t="array" ref="X86">IF(BD86&gt;0,0,SUMPRODUCT((BD$25:BD$124=0)*($B$25:$B$124&gt;=$B86)*($B$25:$B$124&lt;=$B86+ANALYSIS!$G$5)*($C$25:$C$124&gt;=$C86)*($C$25:$C$124&lt;=$C86+ANALYSIS!$G$6)))</f>
        <v>0</v>
      </c>
      <c r="Y86" cm="1">
        <f t="array" ref="Y86">IF(BE86&gt;0,0,SUMPRODUCT((BE$25:BE$124=0)*($B$25:$B$124&gt;=$B86)*($B$25:$B$124&lt;=$B86+ANALYSIS!$G$5)*($C$25:$C$124&gt;=$C86)*($C$25:$C$124&lt;=$C86+ANALYSIS!$G$6)))</f>
        <v>0</v>
      </c>
      <c r="Z86" cm="1">
        <f t="array" ref="Z86">IF(BF86&gt;0,0,SUMPRODUCT((BF$25:BF$124=0)*($B$25:$B$124&gt;=$B86)*($B$25:$B$124&lt;=$B86+ANALYSIS!$G$5)*($C$25:$C$124&gt;=$C86)*($C$25:$C$124&lt;=$C86+ANALYSIS!$G$6)))</f>
        <v>0</v>
      </c>
      <c r="AA86" cm="1">
        <f t="array" ref="AA86">IF(BG86&gt;0,0,SUMPRODUCT((BG$25:BG$124=0)*($B$25:$B$124&gt;=$B86)*($B$25:$B$124&lt;=$B86+ANALYSIS!$G$5)*($C$25:$C$124&gt;=$C86)*($C$25:$C$124&lt;=$C86+ANALYSIS!$G$6)))</f>
        <v>0</v>
      </c>
      <c r="AB86" cm="1">
        <f t="array" ref="AB86">IF(BH86&gt;0,0,SUMPRODUCT((BH$25:BH$124=0)*($B$25:$B$124&gt;=$B86)*($B$25:$B$124&lt;=$B86+ANALYSIS!$G$5)*($C$25:$C$124&gt;=$C86)*($C$25:$C$124&lt;=$C86+ANALYSIS!$G$6)))</f>
        <v>0</v>
      </c>
      <c r="AC86" cm="1">
        <f t="array" ref="AC86">IF(BI86&gt;0,0,SUMPRODUCT((BI$25:BI$124=0)*($B$25:$B$124&gt;=$B86)*($B$25:$B$124&lt;=$B86+ANALYSIS!$G$5)*($C$25:$C$124&gt;=$C86)*($C$25:$C$124&lt;=$C86+ANALYSIS!$G$6)))</f>
        <v>0</v>
      </c>
      <c r="AD86" cm="1">
        <f t="array" ref="AD86">IF(BJ86&gt;0,0,SUMPRODUCT((BJ$25:BJ$124=0)*($B$25:$B$124&gt;=$B86)*($B$25:$B$124&lt;=$B86+ANALYSIS!$G$5)*($C$25:$C$124&gt;=$C86)*($C$25:$C$124&lt;=$C86+ANALYSIS!$G$6)))</f>
        <v>0</v>
      </c>
      <c r="AE86" cm="1">
        <f t="array" ref="AE86">IF(BK86&gt;0,0,SUMPRODUCT((BK$25:BK$124=0)*($B$25:$B$124&gt;=$B86)*($B$25:$B$124&lt;=$B86+ANALYSIS!$G$5)*($C$25:$C$124&gt;=$C86)*($C$25:$C$124&lt;=$C86+ANALYSIS!$G$6)))</f>
        <v>0</v>
      </c>
      <c r="AF86" cm="1">
        <f t="array" ref="AF86">IF(BL86&gt;0,0,SUMPRODUCT((BL$25:BL$124=0)*($B$25:$B$124&gt;=$B86)*($B$25:$B$124&lt;=$B86+ANALYSIS!$G$5)*($C$25:$C$124&gt;=$C86)*($C$25:$C$124&lt;=$C86+ANALYSIS!$G$6)))</f>
        <v>0</v>
      </c>
      <c r="AH86">
        <f>IF(AND(AX86=0,$B86&gt;=R$22,$B86&lt;=R$22+ANALYSIS!$G$5,$C86&gt;=R$23,$C86&lt;=R$23+ANALYSIS!$G$6),1,0)</f>
        <v>0</v>
      </c>
      <c r="AI86">
        <f>IF(AND(AY86=0,$B86&gt;=S$22,$B86&lt;=S$22+ANALYSIS!$G$5,$C86&gt;=S$23,$C86&lt;=S$23+ANALYSIS!$G$6),1,0)</f>
        <v>0</v>
      </c>
      <c r="AJ86">
        <f>IF(AND(AZ86=0,$B86&gt;=T$22,$B86&lt;=T$22+ANALYSIS!$G$5,$C86&gt;=T$23,$C86&lt;=T$23+ANALYSIS!$G$6),1,0)</f>
        <v>0</v>
      </c>
      <c r="AK86">
        <f>IF(AND(BA86=0,$B86&gt;=U$22,$B86&lt;=U$22+ANALYSIS!$G$5,$C86&gt;=U$23,$C86&lt;=U$23+ANALYSIS!$G$6),1,0)</f>
        <v>0</v>
      </c>
      <c r="AL86">
        <f>IF(AND(BB86=0,$B86&gt;=V$22,$B86&lt;=V$22+ANALYSIS!$G$5,$C86&gt;=V$23,$C86&lt;=V$23+ANALYSIS!$G$6),1,0)</f>
        <v>1</v>
      </c>
      <c r="AM86">
        <f>IF(AND(BC86=0,$B86&gt;=W$22,$B86&lt;=W$22+ANALYSIS!$G$5,$C86&gt;=W$23,$C86&lt;=W$23+ANALYSIS!$G$6),1,0)</f>
        <v>0</v>
      </c>
      <c r="AN86">
        <f>IF(AND(BD86=0,$B86&gt;=X$22,$B86&lt;=X$22+ANALYSIS!$G$5,$C86&gt;=X$23,$C86&lt;=X$23+ANALYSIS!$G$6),1,0)</f>
        <v>0</v>
      </c>
      <c r="AO86">
        <f>IF(AND(BE86=0,$B86&gt;=Y$22,$B86&lt;=Y$22+ANALYSIS!$G$5,$C86&gt;=Y$23,$C86&lt;=Y$23+ANALYSIS!$G$6),1,0)</f>
        <v>0</v>
      </c>
      <c r="AP86">
        <f>IF(AND(BF86=0,$B86&gt;=Z$22,$B86&lt;=Z$22+ANALYSIS!$G$5,$C86&gt;=Z$23,$C86&lt;=Z$23+ANALYSIS!$G$6),1,0)</f>
        <v>0</v>
      </c>
      <c r="AQ86">
        <f>IF(AND(BG86=0,$B86&gt;=AA$22,$B86&lt;=AA$22+ANALYSIS!$G$5,$C86&gt;=AA$23,$C86&lt;=AA$23+ANALYSIS!$G$6),1,0)</f>
        <v>0</v>
      </c>
      <c r="AR86">
        <f>IF(AND(BH86=0,$B86&gt;=AB$22,$B86&lt;=AB$22+ANALYSIS!$G$5,$C86&gt;=AB$23,$C86&lt;=AB$23+ANALYSIS!$G$6),1,0)</f>
        <v>0</v>
      </c>
      <c r="AS86">
        <f>IF(AND(BI86=0,$B86&gt;=AC$22,$B86&lt;=AC$22+ANALYSIS!$G$5,$C86&gt;=AC$23,$C86&lt;=AC$23+ANALYSIS!$G$6),1,0)</f>
        <v>0</v>
      </c>
      <c r="AT86">
        <f>IF(AND(BJ86=0,$B86&gt;=AD$22,$B86&lt;=AD$22+ANALYSIS!$G$5,$C86&gt;=AD$23,$C86&lt;=AD$23+ANALYSIS!$G$6),1,0)</f>
        <v>0</v>
      </c>
      <c r="AU86">
        <f>IF(AND(BK86=0,$B86&gt;=AE$22,$B86&lt;=AE$22+ANALYSIS!$G$5,$C86&gt;=AE$23,$C86&lt;=AE$23+ANALYSIS!$G$6),1,0)</f>
        <v>0</v>
      </c>
      <c r="AV86">
        <f>IF(AND(BL86=0,$B86&gt;=AF$22,$B86&lt;=AF$22+ANALYSIS!$G$5,$C86&gt;=AF$23,$C86&lt;=AF$23+ANALYSIS!$G$6),1,0)</f>
        <v>0</v>
      </c>
      <c r="AX86">
        <v>0</v>
      </c>
      <c r="AY86">
        <f t="shared" si="13"/>
        <v>0</v>
      </c>
      <c r="AZ86">
        <f t="shared" si="14"/>
        <v>0</v>
      </c>
      <c r="BA86">
        <f t="shared" si="15"/>
        <v>0</v>
      </c>
      <c r="BB86">
        <f t="shared" si="16"/>
        <v>0</v>
      </c>
      <c r="BC86">
        <f t="shared" si="17"/>
        <v>1</v>
      </c>
      <c r="BD86">
        <f t="shared" si="18"/>
        <v>1</v>
      </c>
      <c r="BE86">
        <f t="shared" si="19"/>
        <v>1</v>
      </c>
      <c r="BF86">
        <f t="shared" si="20"/>
        <v>1</v>
      </c>
      <c r="BG86">
        <f t="shared" si="21"/>
        <v>1</v>
      </c>
      <c r="BH86">
        <f t="shared" si="22"/>
        <v>1</v>
      </c>
      <c r="BI86">
        <f t="shared" si="23"/>
        <v>1</v>
      </c>
      <c r="BJ86">
        <f t="shared" si="24"/>
        <v>1</v>
      </c>
      <c r="BK86">
        <f t="shared" si="25"/>
        <v>1</v>
      </c>
      <c r="BL86">
        <f t="shared" si="26"/>
        <v>1</v>
      </c>
      <c r="BM86">
        <f t="shared" si="27"/>
        <v>1</v>
      </c>
    </row>
    <row r="87" spans="1:65" x14ac:dyDescent="0.25">
      <c r="A87" s="41" t="str">
        <f>ANALYSIS!B93</f>
        <v>20-13</v>
      </c>
      <c r="B87" s="41">
        <f>ANALYSIS!E93</f>
        <v>55</v>
      </c>
      <c r="C87" s="41">
        <f>ANALYSIS!G93</f>
        <v>25.5</v>
      </c>
      <c r="D87" s="41">
        <f t="shared" si="12"/>
        <v>3</v>
      </c>
      <c r="R87" cm="1">
        <f t="array" ref="R87">IF(AX87&gt;0,0,SUMPRODUCT((AX$25:AX$124=0)*($B$25:$B$124&gt;=$B87)*($B$25:$B$124&lt;=$B87+ANALYSIS!$G$5)*($C$25:$C$124&gt;=$C87)*($C$25:$C$124&lt;=$C87+ANALYSIS!$G$6)))</f>
        <v>5</v>
      </c>
      <c r="S87" cm="1">
        <f t="array" ref="S87">IF(AY87&gt;0,0,SUMPRODUCT((AY$25:AY$124=0)*($B$25:$B$124&gt;=$B87)*($B$25:$B$124&lt;=$B87+ANALYSIS!$G$5)*($C$25:$C$124&gt;=$C87)*($C$25:$C$124&lt;=$C87+ANALYSIS!$G$6)))</f>
        <v>5</v>
      </c>
      <c r="T87" cm="1">
        <f t="array" ref="T87">IF(AZ87&gt;0,0,SUMPRODUCT((AZ$25:AZ$124=0)*($B$25:$B$124&gt;=$B87)*($B$25:$B$124&lt;=$B87+ANALYSIS!$G$5)*($C$25:$C$124&gt;=$C87)*($C$25:$C$124&lt;=$C87+ANALYSIS!$G$6)))</f>
        <v>5</v>
      </c>
      <c r="U87" cm="1">
        <f t="array" ref="U87">IF(BA87&gt;0,0,SUMPRODUCT((BA$25:BA$124=0)*($B$25:$B$124&gt;=$B87)*($B$25:$B$124&lt;=$B87+ANALYSIS!$G$5)*($C$25:$C$124&gt;=$C87)*($C$25:$C$124&lt;=$C87+ANALYSIS!$G$6)))</f>
        <v>0</v>
      </c>
      <c r="V87" cm="1">
        <f t="array" ref="V87">IF(BB87&gt;0,0,SUMPRODUCT((BB$25:BB$124=0)*($B$25:$B$124&gt;=$B87)*($B$25:$B$124&lt;=$B87+ANALYSIS!$G$5)*($C$25:$C$124&gt;=$C87)*($C$25:$C$124&lt;=$C87+ANALYSIS!$G$6)))</f>
        <v>0</v>
      </c>
      <c r="W87" cm="1">
        <f t="array" ref="W87">IF(BC87&gt;0,0,SUMPRODUCT((BC$25:BC$124=0)*($B$25:$B$124&gt;=$B87)*($B$25:$B$124&lt;=$B87+ANALYSIS!$G$5)*($C$25:$C$124&gt;=$C87)*($C$25:$C$124&lt;=$C87+ANALYSIS!$G$6)))</f>
        <v>0</v>
      </c>
      <c r="X87" cm="1">
        <f t="array" ref="X87">IF(BD87&gt;0,0,SUMPRODUCT((BD$25:BD$124=0)*($B$25:$B$124&gt;=$B87)*($B$25:$B$124&lt;=$B87+ANALYSIS!$G$5)*($C$25:$C$124&gt;=$C87)*($C$25:$C$124&lt;=$C87+ANALYSIS!$G$6)))</f>
        <v>0</v>
      </c>
      <c r="Y87" cm="1">
        <f t="array" ref="Y87">IF(BE87&gt;0,0,SUMPRODUCT((BE$25:BE$124=0)*($B$25:$B$124&gt;=$B87)*($B$25:$B$124&lt;=$B87+ANALYSIS!$G$5)*($C$25:$C$124&gt;=$C87)*($C$25:$C$124&lt;=$C87+ANALYSIS!$G$6)))</f>
        <v>0</v>
      </c>
      <c r="Z87" cm="1">
        <f t="array" ref="Z87">IF(BF87&gt;0,0,SUMPRODUCT((BF$25:BF$124=0)*($B$25:$B$124&gt;=$B87)*($B$25:$B$124&lt;=$B87+ANALYSIS!$G$5)*($C$25:$C$124&gt;=$C87)*($C$25:$C$124&lt;=$C87+ANALYSIS!$G$6)))</f>
        <v>0</v>
      </c>
      <c r="AA87" cm="1">
        <f t="array" ref="AA87">IF(BG87&gt;0,0,SUMPRODUCT((BG$25:BG$124=0)*($B$25:$B$124&gt;=$B87)*($B$25:$B$124&lt;=$B87+ANALYSIS!$G$5)*($C$25:$C$124&gt;=$C87)*($C$25:$C$124&lt;=$C87+ANALYSIS!$G$6)))</f>
        <v>0</v>
      </c>
      <c r="AB87" cm="1">
        <f t="array" ref="AB87">IF(BH87&gt;0,0,SUMPRODUCT((BH$25:BH$124=0)*($B$25:$B$124&gt;=$B87)*($B$25:$B$124&lt;=$B87+ANALYSIS!$G$5)*($C$25:$C$124&gt;=$C87)*($C$25:$C$124&lt;=$C87+ANALYSIS!$G$6)))</f>
        <v>0</v>
      </c>
      <c r="AC87" cm="1">
        <f t="array" ref="AC87">IF(BI87&gt;0,0,SUMPRODUCT((BI$25:BI$124=0)*($B$25:$B$124&gt;=$B87)*($B$25:$B$124&lt;=$B87+ANALYSIS!$G$5)*($C$25:$C$124&gt;=$C87)*($C$25:$C$124&lt;=$C87+ANALYSIS!$G$6)))</f>
        <v>0</v>
      </c>
      <c r="AD87" cm="1">
        <f t="array" ref="AD87">IF(BJ87&gt;0,0,SUMPRODUCT((BJ$25:BJ$124=0)*($B$25:$B$124&gt;=$B87)*($B$25:$B$124&lt;=$B87+ANALYSIS!$G$5)*($C$25:$C$124&gt;=$C87)*($C$25:$C$124&lt;=$C87+ANALYSIS!$G$6)))</f>
        <v>0</v>
      </c>
      <c r="AE87" cm="1">
        <f t="array" ref="AE87">IF(BK87&gt;0,0,SUMPRODUCT((BK$25:BK$124=0)*($B$25:$B$124&gt;=$B87)*($B$25:$B$124&lt;=$B87+ANALYSIS!$G$5)*($C$25:$C$124&gt;=$C87)*($C$25:$C$124&lt;=$C87+ANALYSIS!$G$6)))</f>
        <v>0</v>
      </c>
      <c r="AF87" cm="1">
        <f t="array" ref="AF87">IF(BL87&gt;0,0,SUMPRODUCT((BL$25:BL$124=0)*($B$25:$B$124&gt;=$B87)*($B$25:$B$124&lt;=$B87+ANALYSIS!$G$5)*($C$25:$C$124&gt;=$C87)*($C$25:$C$124&lt;=$C87+ANALYSIS!$G$6)))</f>
        <v>0</v>
      </c>
      <c r="AH87">
        <f>IF(AND(AX87=0,$B87&gt;=R$22,$B87&lt;=R$22+ANALYSIS!$G$5,$C87&gt;=R$23,$C87&lt;=R$23+ANALYSIS!$G$6),1,0)</f>
        <v>0</v>
      </c>
      <c r="AI87">
        <f>IF(AND(AY87=0,$B87&gt;=S$22,$B87&lt;=S$22+ANALYSIS!$G$5,$C87&gt;=S$23,$C87&lt;=S$23+ANALYSIS!$G$6),1,0)</f>
        <v>0</v>
      </c>
      <c r="AJ87">
        <f>IF(AND(AZ87=0,$B87&gt;=T$22,$B87&lt;=T$22+ANALYSIS!$G$5,$C87&gt;=T$23,$C87&lt;=T$23+ANALYSIS!$G$6),1,0)</f>
        <v>1</v>
      </c>
      <c r="AK87">
        <f>IF(AND(BA87=0,$B87&gt;=U$22,$B87&lt;=U$22+ANALYSIS!$G$5,$C87&gt;=U$23,$C87&lt;=U$23+ANALYSIS!$G$6),1,0)</f>
        <v>0</v>
      </c>
      <c r="AL87">
        <f>IF(AND(BB87=0,$B87&gt;=V$22,$B87&lt;=V$22+ANALYSIS!$G$5,$C87&gt;=V$23,$C87&lt;=V$23+ANALYSIS!$G$6),1,0)</f>
        <v>0</v>
      </c>
      <c r="AM87">
        <f>IF(AND(BC87=0,$B87&gt;=W$22,$B87&lt;=W$22+ANALYSIS!$G$5,$C87&gt;=W$23,$C87&lt;=W$23+ANALYSIS!$G$6),1,0)</f>
        <v>0</v>
      </c>
      <c r="AN87">
        <f>IF(AND(BD87=0,$B87&gt;=X$22,$B87&lt;=X$22+ANALYSIS!$G$5,$C87&gt;=X$23,$C87&lt;=X$23+ANALYSIS!$G$6),1,0)</f>
        <v>0</v>
      </c>
      <c r="AO87">
        <f>IF(AND(BE87=0,$B87&gt;=Y$22,$B87&lt;=Y$22+ANALYSIS!$G$5,$C87&gt;=Y$23,$C87&lt;=Y$23+ANALYSIS!$G$6),1,0)</f>
        <v>0</v>
      </c>
      <c r="AP87">
        <f>IF(AND(BF87=0,$B87&gt;=Z$22,$B87&lt;=Z$22+ANALYSIS!$G$5,$C87&gt;=Z$23,$C87&lt;=Z$23+ANALYSIS!$G$6),1,0)</f>
        <v>0</v>
      </c>
      <c r="AQ87">
        <f>IF(AND(BG87=0,$B87&gt;=AA$22,$B87&lt;=AA$22+ANALYSIS!$G$5,$C87&gt;=AA$23,$C87&lt;=AA$23+ANALYSIS!$G$6),1,0)</f>
        <v>0</v>
      </c>
      <c r="AR87">
        <f>IF(AND(BH87=0,$B87&gt;=AB$22,$B87&lt;=AB$22+ANALYSIS!$G$5,$C87&gt;=AB$23,$C87&lt;=AB$23+ANALYSIS!$G$6),1,0)</f>
        <v>0</v>
      </c>
      <c r="AS87">
        <f>IF(AND(BI87=0,$B87&gt;=AC$22,$B87&lt;=AC$22+ANALYSIS!$G$5,$C87&gt;=AC$23,$C87&lt;=AC$23+ANALYSIS!$G$6),1,0)</f>
        <v>0</v>
      </c>
      <c r="AT87">
        <f>IF(AND(BJ87=0,$B87&gt;=AD$22,$B87&lt;=AD$22+ANALYSIS!$G$5,$C87&gt;=AD$23,$C87&lt;=AD$23+ANALYSIS!$G$6),1,0)</f>
        <v>0</v>
      </c>
      <c r="AU87">
        <f>IF(AND(BK87=0,$B87&gt;=AE$22,$B87&lt;=AE$22+ANALYSIS!$G$5,$C87&gt;=AE$23,$C87&lt;=AE$23+ANALYSIS!$G$6),1,0)</f>
        <v>0</v>
      </c>
      <c r="AV87">
        <f>IF(AND(BL87=0,$B87&gt;=AF$22,$B87&lt;=AF$22+ANALYSIS!$G$5,$C87&gt;=AF$23,$C87&lt;=AF$23+ANALYSIS!$G$6),1,0)</f>
        <v>0</v>
      </c>
      <c r="AX87">
        <v>0</v>
      </c>
      <c r="AY87">
        <f t="shared" si="13"/>
        <v>0</v>
      </c>
      <c r="AZ87">
        <f t="shared" si="14"/>
        <v>0</v>
      </c>
      <c r="BA87">
        <f t="shared" si="15"/>
        <v>1</v>
      </c>
      <c r="BB87">
        <f t="shared" si="16"/>
        <v>1</v>
      </c>
      <c r="BC87">
        <f t="shared" si="17"/>
        <v>1</v>
      </c>
      <c r="BD87">
        <f t="shared" si="18"/>
        <v>1</v>
      </c>
      <c r="BE87">
        <f t="shared" si="19"/>
        <v>1</v>
      </c>
      <c r="BF87">
        <f t="shared" si="20"/>
        <v>1</v>
      </c>
      <c r="BG87">
        <f t="shared" si="21"/>
        <v>1</v>
      </c>
      <c r="BH87">
        <f t="shared" si="22"/>
        <v>1</v>
      </c>
      <c r="BI87">
        <f t="shared" si="23"/>
        <v>1</v>
      </c>
      <c r="BJ87">
        <f t="shared" si="24"/>
        <v>1</v>
      </c>
      <c r="BK87">
        <f t="shared" si="25"/>
        <v>1</v>
      </c>
      <c r="BL87">
        <f t="shared" si="26"/>
        <v>1</v>
      </c>
      <c r="BM87">
        <f t="shared" si="27"/>
        <v>1</v>
      </c>
    </row>
    <row r="88" spans="1:65" x14ac:dyDescent="0.25">
      <c r="A88" s="41" t="str">
        <f>ANALYSIS!B94</f>
        <v>20-14</v>
      </c>
      <c r="B88" s="41">
        <f>ANALYSIS!E94</f>
        <v>53</v>
      </c>
      <c r="C88" s="41">
        <f>ANALYSIS!G94</f>
        <v>23.12</v>
      </c>
      <c r="D88" s="41">
        <f t="shared" si="12"/>
        <v>2</v>
      </c>
      <c r="R88" cm="1">
        <f t="array" ref="R88">IF(AX88&gt;0,0,SUMPRODUCT((AX$25:AX$124=0)*($B$25:$B$124&gt;=$B88)*($B$25:$B$124&lt;=$B88+ANALYSIS!$G$5)*($C$25:$C$124&gt;=$C88)*($C$25:$C$124&lt;=$C88+ANALYSIS!$G$6)))</f>
        <v>9</v>
      </c>
      <c r="S88" cm="1">
        <f t="array" ref="S88">IF(AY88&gt;0,0,SUMPRODUCT((AY$25:AY$124=0)*($B$25:$B$124&gt;=$B88)*($B$25:$B$124&lt;=$B88+ANALYSIS!$G$5)*($C$25:$C$124&gt;=$C88)*($C$25:$C$124&lt;=$C88+ANALYSIS!$G$6)))</f>
        <v>9</v>
      </c>
      <c r="T88" cm="1">
        <f t="array" ref="T88">IF(AZ88&gt;0,0,SUMPRODUCT((AZ$25:AZ$124=0)*($B$25:$B$124&gt;=$B88)*($B$25:$B$124&lt;=$B88+ANALYSIS!$G$5)*($C$25:$C$124&gt;=$C88)*($C$25:$C$124&lt;=$C88+ANALYSIS!$G$6)))</f>
        <v>0</v>
      </c>
      <c r="U88" cm="1">
        <f t="array" ref="U88">IF(BA88&gt;0,0,SUMPRODUCT((BA$25:BA$124=0)*($B$25:$B$124&gt;=$B88)*($B$25:$B$124&lt;=$B88+ANALYSIS!$G$5)*($C$25:$C$124&gt;=$C88)*($C$25:$C$124&lt;=$C88+ANALYSIS!$G$6)))</f>
        <v>0</v>
      </c>
      <c r="V88" cm="1">
        <f t="array" ref="V88">IF(BB88&gt;0,0,SUMPRODUCT((BB$25:BB$124=0)*($B$25:$B$124&gt;=$B88)*($B$25:$B$124&lt;=$B88+ANALYSIS!$G$5)*($C$25:$C$124&gt;=$C88)*($C$25:$C$124&lt;=$C88+ANALYSIS!$G$6)))</f>
        <v>0</v>
      </c>
      <c r="W88" cm="1">
        <f t="array" ref="W88">IF(BC88&gt;0,0,SUMPRODUCT((BC$25:BC$124=0)*($B$25:$B$124&gt;=$B88)*($B$25:$B$124&lt;=$B88+ANALYSIS!$G$5)*($C$25:$C$124&gt;=$C88)*($C$25:$C$124&lt;=$C88+ANALYSIS!$G$6)))</f>
        <v>0</v>
      </c>
      <c r="X88" cm="1">
        <f t="array" ref="X88">IF(BD88&gt;0,0,SUMPRODUCT((BD$25:BD$124=0)*($B$25:$B$124&gt;=$B88)*($B$25:$B$124&lt;=$B88+ANALYSIS!$G$5)*($C$25:$C$124&gt;=$C88)*($C$25:$C$124&lt;=$C88+ANALYSIS!$G$6)))</f>
        <v>0</v>
      </c>
      <c r="Y88" cm="1">
        <f t="array" ref="Y88">IF(BE88&gt;0,0,SUMPRODUCT((BE$25:BE$124=0)*($B$25:$B$124&gt;=$B88)*($B$25:$B$124&lt;=$B88+ANALYSIS!$G$5)*($C$25:$C$124&gt;=$C88)*($C$25:$C$124&lt;=$C88+ANALYSIS!$G$6)))</f>
        <v>0</v>
      </c>
      <c r="Z88" cm="1">
        <f t="array" ref="Z88">IF(BF88&gt;0,0,SUMPRODUCT((BF$25:BF$124=0)*($B$25:$B$124&gt;=$B88)*($B$25:$B$124&lt;=$B88+ANALYSIS!$G$5)*($C$25:$C$124&gt;=$C88)*($C$25:$C$124&lt;=$C88+ANALYSIS!$G$6)))</f>
        <v>0</v>
      </c>
      <c r="AA88" cm="1">
        <f t="array" ref="AA88">IF(BG88&gt;0,0,SUMPRODUCT((BG$25:BG$124=0)*($B$25:$B$124&gt;=$B88)*($B$25:$B$124&lt;=$B88+ANALYSIS!$G$5)*($C$25:$C$124&gt;=$C88)*($C$25:$C$124&lt;=$C88+ANALYSIS!$G$6)))</f>
        <v>0</v>
      </c>
      <c r="AB88" cm="1">
        <f t="array" ref="AB88">IF(BH88&gt;0,0,SUMPRODUCT((BH$25:BH$124=0)*($B$25:$B$124&gt;=$B88)*($B$25:$B$124&lt;=$B88+ANALYSIS!$G$5)*($C$25:$C$124&gt;=$C88)*($C$25:$C$124&lt;=$C88+ANALYSIS!$G$6)))</f>
        <v>0</v>
      </c>
      <c r="AC88" cm="1">
        <f t="array" ref="AC88">IF(BI88&gt;0,0,SUMPRODUCT((BI$25:BI$124=0)*($B$25:$B$124&gt;=$B88)*($B$25:$B$124&lt;=$B88+ANALYSIS!$G$5)*($C$25:$C$124&gt;=$C88)*($C$25:$C$124&lt;=$C88+ANALYSIS!$G$6)))</f>
        <v>0</v>
      </c>
      <c r="AD88" cm="1">
        <f t="array" ref="AD88">IF(BJ88&gt;0,0,SUMPRODUCT((BJ$25:BJ$124=0)*($B$25:$B$124&gt;=$B88)*($B$25:$B$124&lt;=$B88+ANALYSIS!$G$5)*($C$25:$C$124&gt;=$C88)*($C$25:$C$124&lt;=$C88+ANALYSIS!$G$6)))</f>
        <v>0</v>
      </c>
      <c r="AE88" cm="1">
        <f t="array" ref="AE88">IF(BK88&gt;0,0,SUMPRODUCT((BK$25:BK$124=0)*($B$25:$B$124&gt;=$B88)*($B$25:$B$124&lt;=$B88+ANALYSIS!$G$5)*($C$25:$C$124&gt;=$C88)*($C$25:$C$124&lt;=$C88+ANALYSIS!$G$6)))</f>
        <v>0</v>
      </c>
      <c r="AF88" cm="1">
        <f t="array" ref="AF88">IF(BL88&gt;0,0,SUMPRODUCT((BL$25:BL$124=0)*($B$25:$B$124&gt;=$B88)*($B$25:$B$124&lt;=$B88+ANALYSIS!$G$5)*($C$25:$C$124&gt;=$C88)*($C$25:$C$124&lt;=$C88+ANALYSIS!$G$6)))</f>
        <v>0</v>
      </c>
      <c r="AH88">
        <f>IF(AND(AX88=0,$B88&gt;=R$22,$B88&lt;=R$22+ANALYSIS!$G$5,$C88&gt;=R$23,$C88&lt;=R$23+ANALYSIS!$G$6),1,0)</f>
        <v>0</v>
      </c>
      <c r="AI88">
        <f>IF(AND(AY88=0,$B88&gt;=S$22,$B88&lt;=S$22+ANALYSIS!$G$5,$C88&gt;=S$23,$C88&lt;=S$23+ANALYSIS!$G$6),1,0)</f>
        <v>1</v>
      </c>
      <c r="AJ88">
        <f>IF(AND(AZ88=0,$B88&gt;=T$22,$B88&lt;=T$22+ANALYSIS!$G$5,$C88&gt;=T$23,$C88&lt;=T$23+ANALYSIS!$G$6),1,0)</f>
        <v>0</v>
      </c>
      <c r="AK88">
        <f>IF(AND(BA88=0,$B88&gt;=U$22,$B88&lt;=U$22+ANALYSIS!$G$5,$C88&gt;=U$23,$C88&lt;=U$23+ANALYSIS!$G$6),1,0)</f>
        <v>0</v>
      </c>
      <c r="AL88">
        <f>IF(AND(BB88=0,$B88&gt;=V$22,$B88&lt;=V$22+ANALYSIS!$G$5,$C88&gt;=V$23,$C88&lt;=V$23+ANALYSIS!$G$6),1,0)</f>
        <v>0</v>
      </c>
      <c r="AM88">
        <f>IF(AND(BC88=0,$B88&gt;=W$22,$B88&lt;=W$22+ANALYSIS!$G$5,$C88&gt;=W$23,$C88&lt;=W$23+ANALYSIS!$G$6),1,0)</f>
        <v>0</v>
      </c>
      <c r="AN88">
        <f>IF(AND(BD88=0,$B88&gt;=X$22,$B88&lt;=X$22+ANALYSIS!$G$5,$C88&gt;=X$23,$C88&lt;=X$23+ANALYSIS!$G$6),1,0)</f>
        <v>0</v>
      </c>
      <c r="AO88">
        <f>IF(AND(BE88=0,$B88&gt;=Y$22,$B88&lt;=Y$22+ANALYSIS!$G$5,$C88&gt;=Y$23,$C88&lt;=Y$23+ANALYSIS!$G$6),1,0)</f>
        <v>0</v>
      </c>
      <c r="AP88">
        <f>IF(AND(BF88=0,$B88&gt;=Z$22,$B88&lt;=Z$22+ANALYSIS!$G$5,$C88&gt;=Z$23,$C88&lt;=Z$23+ANALYSIS!$G$6),1,0)</f>
        <v>0</v>
      </c>
      <c r="AQ88">
        <f>IF(AND(BG88=0,$B88&gt;=AA$22,$B88&lt;=AA$22+ANALYSIS!$G$5,$C88&gt;=AA$23,$C88&lt;=AA$23+ANALYSIS!$G$6),1,0)</f>
        <v>0</v>
      </c>
      <c r="AR88">
        <f>IF(AND(BH88=0,$B88&gt;=AB$22,$B88&lt;=AB$22+ANALYSIS!$G$5,$C88&gt;=AB$23,$C88&lt;=AB$23+ANALYSIS!$G$6),1,0)</f>
        <v>0</v>
      </c>
      <c r="AS88">
        <f>IF(AND(BI88=0,$B88&gt;=AC$22,$B88&lt;=AC$22+ANALYSIS!$G$5,$C88&gt;=AC$23,$C88&lt;=AC$23+ANALYSIS!$G$6),1,0)</f>
        <v>0</v>
      </c>
      <c r="AT88">
        <f>IF(AND(BJ88=0,$B88&gt;=AD$22,$B88&lt;=AD$22+ANALYSIS!$G$5,$C88&gt;=AD$23,$C88&lt;=AD$23+ANALYSIS!$G$6),1,0)</f>
        <v>0</v>
      </c>
      <c r="AU88">
        <f>IF(AND(BK88=0,$B88&gt;=AE$22,$B88&lt;=AE$22+ANALYSIS!$G$5,$C88&gt;=AE$23,$C88&lt;=AE$23+ANALYSIS!$G$6),1,0)</f>
        <v>0</v>
      </c>
      <c r="AV88">
        <f>IF(AND(BL88=0,$B88&gt;=AF$22,$B88&lt;=AF$22+ANALYSIS!$G$5,$C88&gt;=AF$23,$C88&lt;=AF$23+ANALYSIS!$G$6),1,0)</f>
        <v>0</v>
      </c>
      <c r="AX88">
        <v>0</v>
      </c>
      <c r="AY88">
        <f t="shared" si="13"/>
        <v>0</v>
      </c>
      <c r="AZ88">
        <f t="shared" si="14"/>
        <v>1</v>
      </c>
      <c r="BA88">
        <f t="shared" si="15"/>
        <v>1</v>
      </c>
      <c r="BB88">
        <f t="shared" si="16"/>
        <v>1</v>
      </c>
      <c r="BC88">
        <f t="shared" si="17"/>
        <v>1</v>
      </c>
      <c r="BD88">
        <f t="shared" si="18"/>
        <v>1</v>
      </c>
      <c r="BE88">
        <f t="shared" si="19"/>
        <v>1</v>
      </c>
      <c r="BF88">
        <f t="shared" si="20"/>
        <v>1</v>
      </c>
      <c r="BG88">
        <f t="shared" si="21"/>
        <v>1</v>
      </c>
      <c r="BH88">
        <f t="shared" si="22"/>
        <v>1</v>
      </c>
      <c r="BI88">
        <f t="shared" si="23"/>
        <v>1</v>
      </c>
      <c r="BJ88">
        <f t="shared" si="24"/>
        <v>1</v>
      </c>
      <c r="BK88">
        <f t="shared" si="25"/>
        <v>1</v>
      </c>
      <c r="BL88">
        <f t="shared" si="26"/>
        <v>1</v>
      </c>
      <c r="BM88">
        <f t="shared" si="27"/>
        <v>1</v>
      </c>
    </row>
    <row r="89" spans="1:65" x14ac:dyDescent="0.25">
      <c r="A89" s="41" t="str">
        <f>ANALYSIS!B95</f>
        <v>20-15</v>
      </c>
      <c r="B89" s="41">
        <f>ANALYSIS!E95</f>
        <v>57</v>
      </c>
      <c r="C89" s="41">
        <f>ANALYSIS!G95</f>
        <v>23.64</v>
      </c>
      <c r="D89" s="41">
        <f t="shared" si="12"/>
        <v>9</v>
      </c>
      <c r="R89" cm="1">
        <f t="array" ref="R89">IF(AX89&gt;0,0,SUMPRODUCT((AX$25:AX$124=0)*($B$25:$B$124&gt;=$B89)*($B$25:$B$124&lt;=$B89+ANALYSIS!$G$5)*($C$25:$C$124&gt;=$C89)*($C$25:$C$124&lt;=$C89+ANALYSIS!$G$6)))</f>
        <v>3</v>
      </c>
      <c r="S89" cm="1">
        <f t="array" ref="S89">IF(AY89&gt;0,0,SUMPRODUCT((AY$25:AY$124=0)*($B$25:$B$124&gt;=$B89)*($B$25:$B$124&lt;=$B89+ANALYSIS!$G$5)*($C$25:$C$124&gt;=$C89)*($C$25:$C$124&lt;=$C89+ANALYSIS!$G$6)))</f>
        <v>3</v>
      </c>
      <c r="T89" cm="1">
        <f t="array" ref="T89">IF(AZ89&gt;0,0,SUMPRODUCT((AZ$25:AZ$124=0)*($B$25:$B$124&gt;=$B89)*($B$25:$B$124&lt;=$B89+ANALYSIS!$G$5)*($C$25:$C$124&gt;=$C89)*($C$25:$C$124&lt;=$C89+ANALYSIS!$G$6)))</f>
        <v>3</v>
      </c>
      <c r="U89" cm="1">
        <f t="array" ref="U89">IF(BA89&gt;0,0,SUMPRODUCT((BA$25:BA$124=0)*($B$25:$B$124&gt;=$B89)*($B$25:$B$124&lt;=$B89+ANALYSIS!$G$5)*($C$25:$C$124&gt;=$C89)*($C$25:$C$124&lt;=$C89+ANALYSIS!$G$6)))</f>
        <v>3</v>
      </c>
      <c r="V89" cm="1">
        <f t="array" ref="V89">IF(BB89&gt;0,0,SUMPRODUCT((BB$25:BB$124=0)*($B$25:$B$124&gt;=$B89)*($B$25:$B$124&lt;=$B89+ANALYSIS!$G$5)*($C$25:$C$124&gt;=$C89)*($C$25:$C$124&lt;=$C89+ANALYSIS!$G$6)))</f>
        <v>3</v>
      </c>
      <c r="W89" cm="1">
        <f t="array" ref="W89">IF(BC89&gt;0,0,SUMPRODUCT((BC$25:BC$124=0)*($B$25:$B$124&gt;=$B89)*($B$25:$B$124&lt;=$B89+ANALYSIS!$G$5)*($C$25:$C$124&gt;=$C89)*($C$25:$C$124&lt;=$C89+ANALYSIS!$G$6)))</f>
        <v>3</v>
      </c>
      <c r="X89" cm="1">
        <f t="array" ref="X89">IF(BD89&gt;0,0,SUMPRODUCT((BD$25:BD$124=0)*($B$25:$B$124&gt;=$B89)*($B$25:$B$124&lt;=$B89+ANALYSIS!$G$5)*($C$25:$C$124&gt;=$C89)*($C$25:$C$124&lt;=$C89+ANALYSIS!$G$6)))</f>
        <v>3</v>
      </c>
      <c r="Y89" cm="1">
        <f t="array" ref="Y89">IF(BE89&gt;0,0,SUMPRODUCT((BE$25:BE$124=0)*($B$25:$B$124&gt;=$B89)*($B$25:$B$124&lt;=$B89+ANALYSIS!$G$5)*($C$25:$C$124&gt;=$C89)*($C$25:$C$124&lt;=$C89+ANALYSIS!$G$6)))</f>
        <v>3</v>
      </c>
      <c r="Z89" cm="1">
        <f t="array" ref="Z89">IF(BF89&gt;0,0,SUMPRODUCT((BF$25:BF$124=0)*($B$25:$B$124&gt;=$B89)*($B$25:$B$124&lt;=$B89+ANALYSIS!$G$5)*($C$25:$C$124&gt;=$C89)*($C$25:$C$124&lt;=$C89+ANALYSIS!$G$6)))</f>
        <v>3</v>
      </c>
      <c r="AA89" cm="1">
        <f t="array" ref="AA89">IF(BG89&gt;0,0,SUMPRODUCT((BG$25:BG$124=0)*($B$25:$B$124&gt;=$B89)*($B$25:$B$124&lt;=$B89+ANALYSIS!$G$5)*($C$25:$C$124&gt;=$C89)*($C$25:$C$124&lt;=$C89+ANALYSIS!$G$6)))</f>
        <v>0</v>
      </c>
      <c r="AB89" cm="1">
        <f t="array" ref="AB89">IF(BH89&gt;0,0,SUMPRODUCT((BH$25:BH$124=0)*($B$25:$B$124&gt;=$B89)*($B$25:$B$124&lt;=$B89+ANALYSIS!$G$5)*($C$25:$C$124&gt;=$C89)*($C$25:$C$124&lt;=$C89+ANALYSIS!$G$6)))</f>
        <v>0</v>
      </c>
      <c r="AC89" cm="1">
        <f t="array" ref="AC89">IF(BI89&gt;0,0,SUMPRODUCT((BI$25:BI$124=0)*($B$25:$B$124&gt;=$B89)*($B$25:$B$124&lt;=$B89+ANALYSIS!$G$5)*($C$25:$C$124&gt;=$C89)*($C$25:$C$124&lt;=$C89+ANALYSIS!$G$6)))</f>
        <v>0</v>
      </c>
      <c r="AD89" cm="1">
        <f t="array" ref="AD89">IF(BJ89&gt;0,0,SUMPRODUCT((BJ$25:BJ$124=0)*($B$25:$B$124&gt;=$B89)*($B$25:$B$124&lt;=$B89+ANALYSIS!$G$5)*($C$25:$C$124&gt;=$C89)*($C$25:$C$124&lt;=$C89+ANALYSIS!$G$6)))</f>
        <v>0</v>
      </c>
      <c r="AE89" cm="1">
        <f t="array" ref="AE89">IF(BK89&gt;0,0,SUMPRODUCT((BK$25:BK$124=0)*($B$25:$B$124&gt;=$B89)*($B$25:$B$124&lt;=$B89+ANALYSIS!$G$5)*($C$25:$C$124&gt;=$C89)*($C$25:$C$124&lt;=$C89+ANALYSIS!$G$6)))</f>
        <v>0</v>
      </c>
      <c r="AF89" cm="1">
        <f t="array" ref="AF89">IF(BL89&gt;0,0,SUMPRODUCT((BL$25:BL$124=0)*($B$25:$B$124&gt;=$B89)*($B$25:$B$124&lt;=$B89+ANALYSIS!$G$5)*($C$25:$C$124&gt;=$C89)*($C$25:$C$124&lt;=$C89+ANALYSIS!$G$6)))</f>
        <v>0</v>
      </c>
      <c r="AH89">
        <f>IF(AND(AX89=0,$B89&gt;=R$22,$B89&lt;=R$22+ANALYSIS!$G$5,$C89&gt;=R$23,$C89&lt;=R$23+ANALYSIS!$G$6),1,0)</f>
        <v>0</v>
      </c>
      <c r="AI89">
        <f>IF(AND(AY89=0,$B89&gt;=S$22,$B89&lt;=S$22+ANALYSIS!$G$5,$C89&gt;=S$23,$C89&lt;=S$23+ANALYSIS!$G$6),1,0)</f>
        <v>0</v>
      </c>
      <c r="AJ89">
        <f>IF(AND(AZ89=0,$B89&gt;=T$22,$B89&lt;=T$22+ANALYSIS!$G$5,$C89&gt;=T$23,$C89&lt;=T$23+ANALYSIS!$G$6),1,0)</f>
        <v>0</v>
      </c>
      <c r="AK89">
        <f>IF(AND(BA89=0,$B89&gt;=U$22,$B89&lt;=U$22+ANALYSIS!$G$5,$C89&gt;=U$23,$C89&lt;=U$23+ANALYSIS!$G$6),1,0)</f>
        <v>0</v>
      </c>
      <c r="AL89">
        <f>IF(AND(BB89=0,$B89&gt;=V$22,$B89&lt;=V$22+ANALYSIS!$G$5,$C89&gt;=V$23,$C89&lt;=V$23+ANALYSIS!$G$6),1,0)</f>
        <v>0</v>
      </c>
      <c r="AM89">
        <f>IF(AND(BC89=0,$B89&gt;=W$22,$B89&lt;=W$22+ANALYSIS!$G$5,$C89&gt;=W$23,$C89&lt;=W$23+ANALYSIS!$G$6),1,0)</f>
        <v>0</v>
      </c>
      <c r="AN89">
        <f>IF(AND(BD89=0,$B89&gt;=X$22,$B89&lt;=X$22+ANALYSIS!$G$5,$C89&gt;=X$23,$C89&lt;=X$23+ANALYSIS!$G$6),1,0)</f>
        <v>0</v>
      </c>
      <c r="AO89">
        <f>IF(AND(BE89=0,$B89&gt;=Y$22,$B89&lt;=Y$22+ANALYSIS!$G$5,$C89&gt;=Y$23,$C89&lt;=Y$23+ANALYSIS!$G$6),1,0)</f>
        <v>0</v>
      </c>
      <c r="AP89">
        <f>IF(AND(BF89=0,$B89&gt;=Z$22,$B89&lt;=Z$22+ANALYSIS!$G$5,$C89&gt;=Z$23,$C89&lt;=Z$23+ANALYSIS!$G$6),1,0)</f>
        <v>1</v>
      </c>
      <c r="AQ89">
        <f>IF(AND(BG89=0,$B89&gt;=AA$22,$B89&lt;=AA$22+ANALYSIS!$G$5,$C89&gt;=AA$23,$C89&lt;=AA$23+ANALYSIS!$G$6),1,0)</f>
        <v>0</v>
      </c>
      <c r="AR89">
        <f>IF(AND(BH89=0,$B89&gt;=AB$22,$B89&lt;=AB$22+ANALYSIS!$G$5,$C89&gt;=AB$23,$C89&lt;=AB$23+ANALYSIS!$G$6),1,0)</f>
        <v>0</v>
      </c>
      <c r="AS89">
        <f>IF(AND(BI89=0,$B89&gt;=AC$22,$B89&lt;=AC$22+ANALYSIS!$G$5,$C89&gt;=AC$23,$C89&lt;=AC$23+ANALYSIS!$G$6),1,0)</f>
        <v>0</v>
      </c>
      <c r="AT89">
        <f>IF(AND(BJ89=0,$B89&gt;=AD$22,$B89&lt;=AD$22+ANALYSIS!$G$5,$C89&gt;=AD$23,$C89&lt;=AD$23+ANALYSIS!$G$6),1,0)</f>
        <v>0</v>
      </c>
      <c r="AU89">
        <f>IF(AND(BK89=0,$B89&gt;=AE$22,$B89&lt;=AE$22+ANALYSIS!$G$5,$C89&gt;=AE$23,$C89&lt;=AE$23+ANALYSIS!$G$6),1,0)</f>
        <v>0</v>
      </c>
      <c r="AV89">
        <f>IF(AND(BL89=0,$B89&gt;=AF$22,$B89&lt;=AF$22+ANALYSIS!$G$5,$C89&gt;=AF$23,$C89&lt;=AF$23+ANALYSIS!$G$6),1,0)</f>
        <v>0</v>
      </c>
      <c r="AX89">
        <v>0</v>
      </c>
      <c r="AY89">
        <f t="shared" si="13"/>
        <v>0</v>
      </c>
      <c r="AZ89">
        <f t="shared" si="14"/>
        <v>0</v>
      </c>
      <c r="BA89">
        <f t="shared" si="15"/>
        <v>0</v>
      </c>
      <c r="BB89">
        <f t="shared" si="16"/>
        <v>0</v>
      </c>
      <c r="BC89">
        <f t="shared" si="17"/>
        <v>0</v>
      </c>
      <c r="BD89">
        <f t="shared" si="18"/>
        <v>0</v>
      </c>
      <c r="BE89">
        <f t="shared" si="19"/>
        <v>0</v>
      </c>
      <c r="BF89">
        <f t="shared" si="20"/>
        <v>0</v>
      </c>
      <c r="BG89">
        <f t="shared" si="21"/>
        <v>1</v>
      </c>
      <c r="BH89">
        <f t="shared" si="22"/>
        <v>1</v>
      </c>
      <c r="BI89">
        <f t="shared" si="23"/>
        <v>1</v>
      </c>
      <c r="BJ89">
        <f t="shared" si="24"/>
        <v>1</v>
      </c>
      <c r="BK89">
        <f t="shared" si="25"/>
        <v>1</v>
      </c>
      <c r="BL89">
        <f t="shared" si="26"/>
        <v>1</v>
      </c>
      <c r="BM89">
        <f t="shared" si="27"/>
        <v>1</v>
      </c>
    </row>
    <row r="90" spans="1:65" x14ac:dyDescent="0.25">
      <c r="A90" s="41" t="str">
        <f>ANALYSIS!B96</f>
        <v>20-16</v>
      </c>
      <c r="B90" s="41">
        <f>ANALYSIS!E96</f>
        <v>55</v>
      </c>
      <c r="C90" s="41">
        <f>ANALYSIS!G96</f>
        <v>23.71</v>
      </c>
      <c r="D90" s="41">
        <f t="shared" ref="D90:D124" si="28">IFERROR(MATCH(1,$AH90:$AV90,0),"")</f>
        <v>6</v>
      </c>
      <c r="R90" cm="1">
        <f t="array" ref="R90">IF(AX90&gt;0,0,SUMPRODUCT((AX$25:AX$124=0)*($B$25:$B$124&gt;=$B90)*($B$25:$B$124&lt;=$B90+ANALYSIS!$G$5)*($C$25:$C$124&gt;=$C90)*($C$25:$C$124&lt;=$C90+ANALYSIS!$G$6)))</f>
        <v>14</v>
      </c>
      <c r="S90" cm="1">
        <f t="array" ref="S90">IF(AY90&gt;0,0,SUMPRODUCT((AY$25:AY$124=0)*($B$25:$B$124&gt;=$B90)*($B$25:$B$124&lt;=$B90+ANALYSIS!$G$5)*($C$25:$C$124&gt;=$C90)*($C$25:$C$124&lt;=$C90+ANALYSIS!$G$6)))</f>
        <v>4</v>
      </c>
      <c r="T90" cm="1">
        <f t="array" ref="T90">IF(AZ90&gt;0,0,SUMPRODUCT((AZ$25:AZ$124=0)*($B$25:$B$124&gt;=$B90)*($B$25:$B$124&lt;=$B90+ANALYSIS!$G$5)*($C$25:$C$124&gt;=$C90)*($C$25:$C$124&lt;=$C90+ANALYSIS!$G$6)))</f>
        <v>4</v>
      </c>
      <c r="U90" cm="1">
        <f t="array" ref="U90">IF(BA90&gt;0,0,SUMPRODUCT((BA$25:BA$124=0)*($B$25:$B$124&gt;=$B90)*($B$25:$B$124&lt;=$B90+ANALYSIS!$G$5)*($C$25:$C$124&gt;=$C90)*($C$25:$C$124&lt;=$C90+ANALYSIS!$G$6)))</f>
        <v>4</v>
      </c>
      <c r="V90" cm="1">
        <f t="array" ref="V90">IF(BB90&gt;0,0,SUMPRODUCT((BB$25:BB$124=0)*($B$25:$B$124&gt;=$B90)*($B$25:$B$124&lt;=$B90+ANALYSIS!$G$5)*($C$25:$C$124&gt;=$C90)*($C$25:$C$124&lt;=$C90+ANALYSIS!$G$6)))</f>
        <v>4</v>
      </c>
      <c r="W90" cm="1">
        <f t="array" ref="W90">IF(BC90&gt;0,0,SUMPRODUCT((BC$25:BC$124=0)*($B$25:$B$124&gt;=$B90)*($B$25:$B$124&lt;=$B90+ANALYSIS!$G$5)*($C$25:$C$124&gt;=$C90)*($C$25:$C$124&lt;=$C90+ANALYSIS!$G$6)))</f>
        <v>4</v>
      </c>
      <c r="X90" cm="1">
        <f t="array" ref="X90">IF(BD90&gt;0,0,SUMPRODUCT((BD$25:BD$124=0)*($B$25:$B$124&gt;=$B90)*($B$25:$B$124&lt;=$B90+ANALYSIS!$G$5)*($C$25:$C$124&gt;=$C90)*($C$25:$C$124&lt;=$C90+ANALYSIS!$G$6)))</f>
        <v>0</v>
      </c>
      <c r="Y90" cm="1">
        <f t="array" ref="Y90">IF(BE90&gt;0,0,SUMPRODUCT((BE$25:BE$124=0)*($B$25:$B$124&gt;=$B90)*($B$25:$B$124&lt;=$B90+ANALYSIS!$G$5)*($C$25:$C$124&gt;=$C90)*($C$25:$C$124&lt;=$C90+ANALYSIS!$G$6)))</f>
        <v>0</v>
      </c>
      <c r="Z90" cm="1">
        <f t="array" ref="Z90">IF(BF90&gt;0,0,SUMPRODUCT((BF$25:BF$124=0)*($B$25:$B$124&gt;=$B90)*($B$25:$B$124&lt;=$B90+ANALYSIS!$G$5)*($C$25:$C$124&gt;=$C90)*($C$25:$C$124&lt;=$C90+ANALYSIS!$G$6)))</f>
        <v>0</v>
      </c>
      <c r="AA90" cm="1">
        <f t="array" ref="AA90">IF(BG90&gt;0,0,SUMPRODUCT((BG$25:BG$124=0)*($B$25:$B$124&gt;=$B90)*($B$25:$B$124&lt;=$B90+ANALYSIS!$G$5)*($C$25:$C$124&gt;=$C90)*($C$25:$C$124&lt;=$C90+ANALYSIS!$G$6)))</f>
        <v>0</v>
      </c>
      <c r="AB90" cm="1">
        <f t="array" ref="AB90">IF(BH90&gt;0,0,SUMPRODUCT((BH$25:BH$124=0)*($B$25:$B$124&gt;=$B90)*($B$25:$B$124&lt;=$B90+ANALYSIS!$G$5)*($C$25:$C$124&gt;=$C90)*($C$25:$C$124&lt;=$C90+ANALYSIS!$G$6)))</f>
        <v>0</v>
      </c>
      <c r="AC90" cm="1">
        <f t="array" ref="AC90">IF(BI90&gt;0,0,SUMPRODUCT((BI$25:BI$124=0)*($B$25:$B$124&gt;=$B90)*($B$25:$B$124&lt;=$B90+ANALYSIS!$G$5)*($C$25:$C$124&gt;=$C90)*($C$25:$C$124&lt;=$C90+ANALYSIS!$G$6)))</f>
        <v>0</v>
      </c>
      <c r="AD90" cm="1">
        <f t="array" ref="AD90">IF(BJ90&gt;0,0,SUMPRODUCT((BJ$25:BJ$124=0)*($B$25:$B$124&gt;=$B90)*($B$25:$B$124&lt;=$B90+ANALYSIS!$G$5)*($C$25:$C$124&gt;=$C90)*($C$25:$C$124&lt;=$C90+ANALYSIS!$G$6)))</f>
        <v>0</v>
      </c>
      <c r="AE90" cm="1">
        <f t="array" ref="AE90">IF(BK90&gt;0,0,SUMPRODUCT((BK$25:BK$124=0)*($B$25:$B$124&gt;=$B90)*($B$25:$B$124&lt;=$B90+ANALYSIS!$G$5)*($C$25:$C$124&gt;=$C90)*($C$25:$C$124&lt;=$C90+ANALYSIS!$G$6)))</f>
        <v>0</v>
      </c>
      <c r="AF90" cm="1">
        <f t="array" ref="AF90">IF(BL90&gt;0,0,SUMPRODUCT((BL$25:BL$124=0)*($B$25:$B$124&gt;=$B90)*($B$25:$B$124&lt;=$B90+ANALYSIS!$G$5)*($C$25:$C$124&gt;=$C90)*($C$25:$C$124&lt;=$C90+ANALYSIS!$G$6)))</f>
        <v>0</v>
      </c>
      <c r="AH90">
        <f>IF(AND(AX90=0,$B90&gt;=R$22,$B90&lt;=R$22+ANALYSIS!$G$5,$C90&gt;=R$23,$C90&lt;=R$23+ANALYSIS!$G$6),1,0)</f>
        <v>0</v>
      </c>
      <c r="AI90">
        <f>IF(AND(AY90=0,$B90&gt;=S$22,$B90&lt;=S$22+ANALYSIS!$G$5,$C90&gt;=S$23,$C90&lt;=S$23+ANALYSIS!$G$6),1,0)</f>
        <v>0</v>
      </c>
      <c r="AJ90">
        <f>IF(AND(AZ90=0,$B90&gt;=T$22,$B90&lt;=T$22+ANALYSIS!$G$5,$C90&gt;=T$23,$C90&lt;=T$23+ANALYSIS!$G$6),1,0)</f>
        <v>0</v>
      </c>
      <c r="AK90">
        <f>IF(AND(BA90=0,$B90&gt;=U$22,$B90&lt;=U$22+ANALYSIS!$G$5,$C90&gt;=U$23,$C90&lt;=U$23+ANALYSIS!$G$6),1,0)</f>
        <v>0</v>
      </c>
      <c r="AL90">
        <f>IF(AND(BB90=0,$B90&gt;=V$22,$B90&lt;=V$22+ANALYSIS!$G$5,$C90&gt;=V$23,$C90&lt;=V$23+ANALYSIS!$G$6),1,0)</f>
        <v>0</v>
      </c>
      <c r="AM90">
        <f>IF(AND(BC90=0,$B90&gt;=W$22,$B90&lt;=W$22+ANALYSIS!$G$5,$C90&gt;=W$23,$C90&lt;=W$23+ANALYSIS!$G$6),1,0)</f>
        <v>1</v>
      </c>
      <c r="AN90">
        <f>IF(AND(BD90=0,$B90&gt;=X$22,$B90&lt;=X$22+ANALYSIS!$G$5,$C90&gt;=X$23,$C90&lt;=X$23+ANALYSIS!$G$6),1,0)</f>
        <v>0</v>
      </c>
      <c r="AO90">
        <f>IF(AND(BE90=0,$B90&gt;=Y$22,$B90&lt;=Y$22+ANALYSIS!$G$5,$C90&gt;=Y$23,$C90&lt;=Y$23+ANALYSIS!$G$6),1,0)</f>
        <v>0</v>
      </c>
      <c r="AP90">
        <f>IF(AND(BF90=0,$B90&gt;=Z$22,$B90&lt;=Z$22+ANALYSIS!$G$5,$C90&gt;=Z$23,$C90&lt;=Z$23+ANALYSIS!$G$6),1,0)</f>
        <v>0</v>
      </c>
      <c r="AQ90">
        <f>IF(AND(BG90=0,$B90&gt;=AA$22,$B90&lt;=AA$22+ANALYSIS!$G$5,$C90&gt;=AA$23,$C90&lt;=AA$23+ANALYSIS!$G$6),1,0)</f>
        <v>0</v>
      </c>
      <c r="AR90">
        <f>IF(AND(BH90=0,$B90&gt;=AB$22,$B90&lt;=AB$22+ANALYSIS!$G$5,$C90&gt;=AB$23,$C90&lt;=AB$23+ANALYSIS!$G$6),1,0)</f>
        <v>0</v>
      </c>
      <c r="AS90">
        <f>IF(AND(BI90=0,$B90&gt;=AC$22,$B90&lt;=AC$22+ANALYSIS!$G$5,$C90&gt;=AC$23,$C90&lt;=AC$23+ANALYSIS!$G$6),1,0)</f>
        <v>0</v>
      </c>
      <c r="AT90">
        <f>IF(AND(BJ90=0,$B90&gt;=AD$22,$B90&lt;=AD$22+ANALYSIS!$G$5,$C90&gt;=AD$23,$C90&lt;=AD$23+ANALYSIS!$G$6),1,0)</f>
        <v>0</v>
      </c>
      <c r="AU90">
        <f>IF(AND(BK90=0,$B90&gt;=AE$22,$B90&lt;=AE$22+ANALYSIS!$G$5,$C90&gt;=AE$23,$C90&lt;=AE$23+ANALYSIS!$G$6),1,0)</f>
        <v>0</v>
      </c>
      <c r="AV90">
        <f>IF(AND(BL90=0,$B90&gt;=AF$22,$B90&lt;=AF$22+ANALYSIS!$G$5,$C90&gt;=AF$23,$C90&lt;=AF$23+ANALYSIS!$G$6),1,0)</f>
        <v>0</v>
      </c>
      <c r="AX90">
        <v>0</v>
      </c>
      <c r="AY90">
        <f t="shared" ref="AY90:AY124" si="29">AX90+AH90</f>
        <v>0</v>
      </c>
      <c r="AZ90">
        <f t="shared" si="14"/>
        <v>0</v>
      </c>
      <c r="BA90">
        <f t="shared" si="15"/>
        <v>0</v>
      </c>
      <c r="BB90">
        <f t="shared" si="16"/>
        <v>0</v>
      </c>
      <c r="BC90">
        <f t="shared" si="17"/>
        <v>0</v>
      </c>
      <c r="BD90">
        <f t="shared" si="18"/>
        <v>1</v>
      </c>
      <c r="BE90">
        <f t="shared" si="19"/>
        <v>1</v>
      </c>
      <c r="BF90">
        <f t="shared" si="20"/>
        <v>1</v>
      </c>
      <c r="BG90">
        <f t="shared" si="21"/>
        <v>1</v>
      </c>
      <c r="BH90">
        <f t="shared" si="22"/>
        <v>1</v>
      </c>
      <c r="BI90">
        <f t="shared" si="23"/>
        <v>1</v>
      </c>
      <c r="BJ90">
        <f t="shared" si="24"/>
        <v>1</v>
      </c>
      <c r="BK90">
        <f t="shared" si="25"/>
        <v>1</v>
      </c>
      <c r="BL90">
        <f t="shared" si="26"/>
        <v>1</v>
      </c>
      <c r="BM90">
        <f t="shared" si="27"/>
        <v>1</v>
      </c>
    </row>
    <row r="91" spans="1:65" x14ac:dyDescent="0.25">
      <c r="A91" s="41" t="str">
        <f>ANALYSIS!B97</f>
        <v>20-17</v>
      </c>
      <c r="B91" s="41">
        <f>ANALYSIS!E97</f>
        <v>53</v>
      </c>
      <c r="C91" s="41">
        <f>ANALYSIS!G97</f>
        <v>22.75</v>
      </c>
      <c r="D91" s="41">
        <f t="shared" si="28"/>
        <v>8</v>
      </c>
      <c r="R91" cm="1">
        <f t="array" ref="R91">IF(AX91&gt;0,0,SUMPRODUCT((AX$25:AX$124=0)*($B$25:$B$124&gt;=$B91)*($B$25:$B$124&lt;=$B91+ANALYSIS!$G$5)*($C$25:$C$124&gt;=$C91)*($C$25:$C$124&lt;=$C91+ANALYSIS!$G$6)))</f>
        <v>9</v>
      </c>
      <c r="S91" cm="1">
        <f t="array" ref="S91">IF(AY91&gt;0,0,SUMPRODUCT((AY$25:AY$124=0)*($B$25:$B$124&gt;=$B91)*($B$25:$B$124&lt;=$B91+ANALYSIS!$G$5)*($C$25:$C$124&gt;=$C91)*($C$25:$C$124&lt;=$C91+ANALYSIS!$G$6)))</f>
        <v>9</v>
      </c>
      <c r="T91" cm="1">
        <f t="array" ref="T91">IF(AZ91&gt;0,0,SUMPRODUCT((AZ$25:AZ$124=0)*($B$25:$B$124&gt;=$B91)*($B$25:$B$124&lt;=$B91+ANALYSIS!$G$5)*($C$25:$C$124&gt;=$C91)*($C$25:$C$124&lt;=$C91+ANALYSIS!$G$6)))</f>
        <v>4</v>
      </c>
      <c r="U91" cm="1">
        <f t="array" ref="U91">IF(BA91&gt;0,0,SUMPRODUCT((BA$25:BA$124=0)*($B$25:$B$124&gt;=$B91)*($B$25:$B$124&lt;=$B91+ANALYSIS!$G$5)*($C$25:$C$124&gt;=$C91)*($C$25:$C$124&lt;=$C91+ANALYSIS!$G$6)))</f>
        <v>4</v>
      </c>
      <c r="V91" cm="1">
        <f t="array" ref="V91">IF(BB91&gt;0,0,SUMPRODUCT((BB$25:BB$124=0)*($B$25:$B$124&gt;=$B91)*($B$25:$B$124&lt;=$B91+ANALYSIS!$G$5)*($C$25:$C$124&gt;=$C91)*($C$25:$C$124&lt;=$C91+ANALYSIS!$G$6)))</f>
        <v>4</v>
      </c>
      <c r="W91" cm="1">
        <f t="array" ref="W91">IF(BC91&gt;0,0,SUMPRODUCT((BC$25:BC$124=0)*($B$25:$B$124&gt;=$B91)*($B$25:$B$124&lt;=$B91+ANALYSIS!$G$5)*($C$25:$C$124&gt;=$C91)*($C$25:$C$124&lt;=$C91+ANALYSIS!$G$6)))</f>
        <v>4</v>
      </c>
      <c r="X91" cm="1">
        <f t="array" ref="X91">IF(BD91&gt;0,0,SUMPRODUCT((BD$25:BD$124=0)*($B$25:$B$124&gt;=$B91)*($B$25:$B$124&lt;=$B91+ANALYSIS!$G$5)*($C$25:$C$124&gt;=$C91)*($C$25:$C$124&lt;=$C91+ANALYSIS!$G$6)))</f>
        <v>4</v>
      </c>
      <c r="Y91" cm="1">
        <f t="array" ref="Y91">IF(BE91&gt;0,0,SUMPRODUCT((BE$25:BE$124=0)*($B$25:$B$124&gt;=$B91)*($B$25:$B$124&lt;=$B91+ANALYSIS!$G$5)*($C$25:$C$124&gt;=$C91)*($C$25:$C$124&lt;=$C91+ANALYSIS!$G$6)))</f>
        <v>1</v>
      </c>
      <c r="Z91" cm="1">
        <f t="array" ref="Z91">IF(BF91&gt;0,0,SUMPRODUCT((BF$25:BF$124=0)*($B$25:$B$124&gt;=$B91)*($B$25:$B$124&lt;=$B91+ANALYSIS!$G$5)*($C$25:$C$124&gt;=$C91)*($C$25:$C$124&lt;=$C91+ANALYSIS!$G$6)))</f>
        <v>0</v>
      </c>
      <c r="AA91" cm="1">
        <f t="array" ref="AA91">IF(BG91&gt;0,0,SUMPRODUCT((BG$25:BG$124=0)*($B$25:$B$124&gt;=$B91)*($B$25:$B$124&lt;=$B91+ANALYSIS!$G$5)*($C$25:$C$124&gt;=$C91)*($C$25:$C$124&lt;=$C91+ANALYSIS!$G$6)))</f>
        <v>0</v>
      </c>
      <c r="AB91" cm="1">
        <f t="array" ref="AB91">IF(BH91&gt;0,0,SUMPRODUCT((BH$25:BH$124=0)*($B$25:$B$124&gt;=$B91)*($B$25:$B$124&lt;=$B91+ANALYSIS!$G$5)*($C$25:$C$124&gt;=$C91)*($C$25:$C$124&lt;=$C91+ANALYSIS!$G$6)))</f>
        <v>0</v>
      </c>
      <c r="AC91" cm="1">
        <f t="array" ref="AC91">IF(BI91&gt;0,0,SUMPRODUCT((BI$25:BI$124=0)*($B$25:$B$124&gt;=$B91)*($B$25:$B$124&lt;=$B91+ANALYSIS!$G$5)*($C$25:$C$124&gt;=$C91)*($C$25:$C$124&lt;=$C91+ANALYSIS!$G$6)))</f>
        <v>0</v>
      </c>
      <c r="AD91" cm="1">
        <f t="array" ref="AD91">IF(BJ91&gt;0,0,SUMPRODUCT((BJ$25:BJ$124=0)*($B$25:$B$124&gt;=$B91)*($B$25:$B$124&lt;=$B91+ANALYSIS!$G$5)*($C$25:$C$124&gt;=$C91)*($C$25:$C$124&lt;=$C91+ANALYSIS!$G$6)))</f>
        <v>0</v>
      </c>
      <c r="AE91" cm="1">
        <f t="array" ref="AE91">IF(BK91&gt;0,0,SUMPRODUCT((BK$25:BK$124=0)*($B$25:$B$124&gt;=$B91)*($B$25:$B$124&lt;=$B91+ANALYSIS!$G$5)*($C$25:$C$124&gt;=$C91)*($C$25:$C$124&lt;=$C91+ANALYSIS!$G$6)))</f>
        <v>0</v>
      </c>
      <c r="AF91" cm="1">
        <f t="array" ref="AF91">IF(BL91&gt;0,0,SUMPRODUCT((BL$25:BL$124=0)*($B$25:$B$124&gt;=$B91)*($B$25:$B$124&lt;=$B91+ANALYSIS!$G$5)*($C$25:$C$124&gt;=$C91)*($C$25:$C$124&lt;=$C91+ANALYSIS!$G$6)))</f>
        <v>0</v>
      </c>
      <c r="AH91">
        <f>IF(AND(AX91=0,$B91&gt;=R$22,$B91&lt;=R$22+ANALYSIS!$G$5,$C91&gt;=R$23,$C91&lt;=R$23+ANALYSIS!$G$6),1,0)</f>
        <v>0</v>
      </c>
      <c r="AI91">
        <f>IF(AND(AY91=0,$B91&gt;=S$22,$B91&lt;=S$22+ANALYSIS!$G$5,$C91&gt;=S$23,$C91&lt;=S$23+ANALYSIS!$G$6),1,0)</f>
        <v>0</v>
      </c>
      <c r="AJ91">
        <f>IF(AND(AZ91=0,$B91&gt;=T$22,$B91&lt;=T$22+ANALYSIS!$G$5,$C91&gt;=T$23,$C91&lt;=T$23+ANALYSIS!$G$6),1,0)</f>
        <v>0</v>
      </c>
      <c r="AK91">
        <f>IF(AND(BA91=0,$B91&gt;=U$22,$B91&lt;=U$22+ANALYSIS!$G$5,$C91&gt;=U$23,$C91&lt;=U$23+ANALYSIS!$G$6),1,0)</f>
        <v>0</v>
      </c>
      <c r="AL91">
        <f>IF(AND(BB91=0,$B91&gt;=V$22,$B91&lt;=V$22+ANALYSIS!$G$5,$C91&gt;=V$23,$C91&lt;=V$23+ANALYSIS!$G$6),1,0)</f>
        <v>0</v>
      </c>
      <c r="AM91">
        <f>IF(AND(BC91=0,$B91&gt;=W$22,$B91&lt;=W$22+ANALYSIS!$G$5,$C91&gt;=W$23,$C91&lt;=W$23+ANALYSIS!$G$6),1,0)</f>
        <v>0</v>
      </c>
      <c r="AN91">
        <f>IF(AND(BD91=0,$B91&gt;=X$22,$B91&lt;=X$22+ANALYSIS!$G$5,$C91&gt;=X$23,$C91&lt;=X$23+ANALYSIS!$G$6),1,0)</f>
        <v>0</v>
      </c>
      <c r="AO91">
        <f>IF(AND(BE91=0,$B91&gt;=Y$22,$B91&lt;=Y$22+ANALYSIS!$G$5,$C91&gt;=Y$23,$C91&lt;=Y$23+ANALYSIS!$G$6),1,0)</f>
        <v>1</v>
      </c>
      <c r="AP91">
        <f>IF(AND(BF91=0,$B91&gt;=Z$22,$B91&lt;=Z$22+ANALYSIS!$G$5,$C91&gt;=Z$23,$C91&lt;=Z$23+ANALYSIS!$G$6),1,0)</f>
        <v>0</v>
      </c>
      <c r="AQ91">
        <f>IF(AND(BG91=0,$B91&gt;=AA$22,$B91&lt;=AA$22+ANALYSIS!$G$5,$C91&gt;=AA$23,$C91&lt;=AA$23+ANALYSIS!$G$6),1,0)</f>
        <v>0</v>
      </c>
      <c r="AR91">
        <f>IF(AND(BH91=0,$B91&gt;=AB$22,$B91&lt;=AB$22+ANALYSIS!$G$5,$C91&gt;=AB$23,$C91&lt;=AB$23+ANALYSIS!$G$6),1,0)</f>
        <v>0</v>
      </c>
      <c r="AS91">
        <f>IF(AND(BI91=0,$B91&gt;=AC$22,$B91&lt;=AC$22+ANALYSIS!$G$5,$C91&gt;=AC$23,$C91&lt;=AC$23+ANALYSIS!$G$6),1,0)</f>
        <v>0</v>
      </c>
      <c r="AT91">
        <f>IF(AND(BJ91=0,$B91&gt;=AD$22,$B91&lt;=AD$22+ANALYSIS!$G$5,$C91&gt;=AD$23,$C91&lt;=AD$23+ANALYSIS!$G$6),1,0)</f>
        <v>0</v>
      </c>
      <c r="AU91">
        <f>IF(AND(BK91=0,$B91&gt;=AE$22,$B91&lt;=AE$22+ANALYSIS!$G$5,$C91&gt;=AE$23,$C91&lt;=AE$23+ANALYSIS!$G$6),1,0)</f>
        <v>0</v>
      </c>
      <c r="AV91">
        <f>IF(AND(BL91=0,$B91&gt;=AF$22,$B91&lt;=AF$22+ANALYSIS!$G$5,$C91&gt;=AF$23,$C91&lt;=AF$23+ANALYSIS!$G$6),1,0)</f>
        <v>0</v>
      </c>
      <c r="AX91">
        <v>0</v>
      </c>
      <c r="AY91">
        <f t="shared" si="29"/>
        <v>0</v>
      </c>
      <c r="AZ91">
        <f t="shared" si="14"/>
        <v>0</v>
      </c>
      <c r="BA91">
        <f t="shared" si="15"/>
        <v>0</v>
      </c>
      <c r="BB91">
        <f t="shared" si="16"/>
        <v>0</v>
      </c>
      <c r="BC91">
        <f t="shared" si="17"/>
        <v>0</v>
      </c>
      <c r="BD91">
        <f t="shared" si="18"/>
        <v>0</v>
      </c>
      <c r="BE91">
        <f t="shared" si="19"/>
        <v>0</v>
      </c>
      <c r="BF91">
        <f t="shared" si="20"/>
        <v>1</v>
      </c>
      <c r="BG91">
        <f t="shared" si="21"/>
        <v>1</v>
      </c>
      <c r="BH91">
        <f t="shared" si="22"/>
        <v>1</v>
      </c>
      <c r="BI91">
        <f t="shared" si="23"/>
        <v>1</v>
      </c>
      <c r="BJ91">
        <f t="shared" si="24"/>
        <v>1</v>
      </c>
      <c r="BK91">
        <f t="shared" si="25"/>
        <v>1</v>
      </c>
      <c r="BL91">
        <f t="shared" si="26"/>
        <v>1</v>
      </c>
      <c r="BM91">
        <f t="shared" si="27"/>
        <v>1</v>
      </c>
    </row>
    <row r="92" spans="1:65" x14ac:dyDescent="0.25">
      <c r="A92" s="41" t="str">
        <f>ANALYSIS!B98</f>
        <v>20-18</v>
      </c>
      <c r="B92" s="41">
        <f>ANALYSIS!E98</f>
        <v>56</v>
      </c>
      <c r="C92" s="41">
        <f>ANALYSIS!G98</f>
        <v>25.13</v>
      </c>
      <c r="D92" s="41">
        <f t="shared" si="28"/>
        <v>3</v>
      </c>
      <c r="R92" cm="1">
        <f t="array" ref="R92">IF(AX92&gt;0,0,SUMPRODUCT((AX$25:AX$124=0)*($B$25:$B$124&gt;=$B92)*($B$25:$B$124&lt;=$B92+ANALYSIS!$G$5)*($C$25:$C$124&gt;=$C92)*($C$25:$C$124&lt;=$C92+ANALYSIS!$G$6)))</f>
        <v>8</v>
      </c>
      <c r="S92" cm="1">
        <f t="array" ref="S92">IF(AY92&gt;0,0,SUMPRODUCT((AY$25:AY$124=0)*($B$25:$B$124&gt;=$B92)*($B$25:$B$124&lt;=$B92+ANALYSIS!$G$5)*($C$25:$C$124&gt;=$C92)*($C$25:$C$124&lt;=$C92+ANALYSIS!$G$6)))</f>
        <v>8</v>
      </c>
      <c r="T92" cm="1">
        <f t="array" ref="T92">IF(AZ92&gt;0,0,SUMPRODUCT((AZ$25:AZ$124=0)*($B$25:$B$124&gt;=$B92)*($B$25:$B$124&lt;=$B92+ANALYSIS!$G$5)*($C$25:$C$124&gt;=$C92)*($C$25:$C$124&lt;=$C92+ANALYSIS!$G$6)))</f>
        <v>8</v>
      </c>
      <c r="U92" cm="1">
        <f t="array" ref="U92">IF(BA92&gt;0,0,SUMPRODUCT((BA$25:BA$124=0)*($B$25:$B$124&gt;=$B92)*($B$25:$B$124&lt;=$B92+ANALYSIS!$G$5)*($C$25:$C$124&gt;=$C92)*($C$25:$C$124&lt;=$C92+ANALYSIS!$G$6)))</f>
        <v>0</v>
      </c>
      <c r="V92" cm="1">
        <f t="array" ref="V92">IF(BB92&gt;0,0,SUMPRODUCT((BB$25:BB$124=0)*($B$25:$B$124&gt;=$B92)*($B$25:$B$124&lt;=$B92+ANALYSIS!$G$5)*($C$25:$C$124&gt;=$C92)*($C$25:$C$124&lt;=$C92+ANALYSIS!$G$6)))</f>
        <v>0</v>
      </c>
      <c r="W92" cm="1">
        <f t="array" ref="W92">IF(BC92&gt;0,0,SUMPRODUCT((BC$25:BC$124=0)*($B$25:$B$124&gt;=$B92)*($B$25:$B$124&lt;=$B92+ANALYSIS!$G$5)*($C$25:$C$124&gt;=$C92)*($C$25:$C$124&lt;=$C92+ANALYSIS!$G$6)))</f>
        <v>0</v>
      </c>
      <c r="X92" cm="1">
        <f t="array" ref="X92">IF(BD92&gt;0,0,SUMPRODUCT((BD$25:BD$124=0)*($B$25:$B$124&gt;=$B92)*($B$25:$B$124&lt;=$B92+ANALYSIS!$G$5)*($C$25:$C$124&gt;=$C92)*($C$25:$C$124&lt;=$C92+ANALYSIS!$G$6)))</f>
        <v>0</v>
      </c>
      <c r="Y92" cm="1">
        <f t="array" ref="Y92">IF(BE92&gt;0,0,SUMPRODUCT((BE$25:BE$124=0)*($B$25:$B$124&gt;=$B92)*($B$25:$B$124&lt;=$B92+ANALYSIS!$G$5)*($C$25:$C$124&gt;=$C92)*($C$25:$C$124&lt;=$C92+ANALYSIS!$G$6)))</f>
        <v>0</v>
      </c>
      <c r="Z92" cm="1">
        <f t="array" ref="Z92">IF(BF92&gt;0,0,SUMPRODUCT((BF$25:BF$124=0)*($B$25:$B$124&gt;=$B92)*($B$25:$B$124&lt;=$B92+ANALYSIS!$G$5)*($C$25:$C$124&gt;=$C92)*($C$25:$C$124&lt;=$C92+ANALYSIS!$G$6)))</f>
        <v>0</v>
      </c>
      <c r="AA92" cm="1">
        <f t="array" ref="AA92">IF(BG92&gt;0,0,SUMPRODUCT((BG$25:BG$124=0)*($B$25:$B$124&gt;=$B92)*($B$25:$B$124&lt;=$B92+ANALYSIS!$G$5)*($C$25:$C$124&gt;=$C92)*($C$25:$C$124&lt;=$C92+ANALYSIS!$G$6)))</f>
        <v>0</v>
      </c>
      <c r="AB92" cm="1">
        <f t="array" ref="AB92">IF(BH92&gt;0,0,SUMPRODUCT((BH$25:BH$124=0)*($B$25:$B$124&gt;=$B92)*($B$25:$B$124&lt;=$B92+ANALYSIS!$G$5)*($C$25:$C$124&gt;=$C92)*($C$25:$C$124&lt;=$C92+ANALYSIS!$G$6)))</f>
        <v>0</v>
      </c>
      <c r="AC92" cm="1">
        <f t="array" ref="AC92">IF(BI92&gt;0,0,SUMPRODUCT((BI$25:BI$124=0)*($B$25:$B$124&gt;=$B92)*($B$25:$B$124&lt;=$B92+ANALYSIS!$G$5)*($C$25:$C$124&gt;=$C92)*($C$25:$C$124&lt;=$C92+ANALYSIS!$G$6)))</f>
        <v>0</v>
      </c>
      <c r="AD92" cm="1">
        <f t="array" ref="AD92">IF(BJ92&gt;0,0,SUMPRODUCT((BJ$25:BJ$124=0)*($B$25:$B$124&gt;=$B92)*($B$25:$B$124&lt;=$B92+ANALYSIS!$G$5)*($C$25:$C$124&gt;=$C92)*($C$25:$C$124&lt;=$C92+ANALYSIS!$G$6)))</f>
        <v>0</v>
      </c>
      <c r="AE92" cm="1">
        <f t="array" ref="AE92">IF(BK92&gt;0,0,SUMPRODUCT((BK$25:BK$124=0)*($B$25:$B$124&gt;=$B92)*($B$25:$B$124&lt;=$B92+ANALYSIS!$G$5)*($C$25:$C$124&gt;=$C92)*($C$25:$C$124&lt;=$C92+ANALYSIS!$G$6)))</f>
        <v>0</v>
      </c>
      <c r="AF92" cm="1">
        <f t="array" ref="AF92">IF(BL92&gt;0,0,SUMPRODUCT((BL$25:BL$124=0)*($B$25:$B$124&gt;=$B92)*($B$25:$B$124&lt;=$B92+ANALYSIS!$G$5)*($C$25:$C$124&gt;=$C92)*($C$25:$C$124&lt;=$C92+ANALYSIS!$G$6)))</f>
        <v>0</v>
      </c>
      <c r="AH92">
        <f>IF(AND(AX92=0,$B92&gt;=R$22,$B92&lt;=R$22+ANALYSIS!$G$5,$C92&gt;=R$23,$C92&lt;=R$23+ANALYSIS!$G$6),1,0)</f>
        <v>0</v>
      </c>
      <c r="AI92">
        <f>IF(AND(AY92=0,$B92&gt;=S$22,$B92&lt;=S$22+ANALYSIS!$G$5,$C92&gt;=S$23,$C92&lt;=S$23+ANALYSIS!$G$6),1,0)</f>
        <v>0</v>
      </c>
      <c r="AJ92">
        <f>IF(AND(AZ92=0,$B92&gt;=T$22,$B92&lt;=T$22+ANALYSIS!$G$5,$C92&gt;=T$23,$C92&lt;=T$23+ANALYSIS!$G$6),1,0)</f>
        <v>1</v>
      </c>
      <c r="AK92">
        <f>IF(AND(BA92=0,$B92&gt;=U$22,$B92&lt;=U$22+ANALYSIS!$G$5,$C92&gt;=U$23,$C92&lt;=U$23+ANALYSIS!$G$6),1,0)</f>
        <v>0</v>
      </c>
      <c r="AL92">
        <f>IF(AND(BB92=0,$B92&gt;=V$22,$B92&lt;=V$22+ANALYSIS!$G$5,$C92&gt;=V$23,$C92&lt;=V$23+ANALYSIS!$G$6),1,0)</f>
        <v>0</v>
      </c>
      <c r="AM92">
        <f>IF(AND(BC92=0,$B92&gt;=W$22,$B92&lt;=W$22+ANALYSIS!$G$5,$C92&gt;=W$23,$C92&lt;=W$23+ANALYSIS!$G$6),1,0)</f>
        <v>0</v>
      </c>
      <c r="AN92">
        <f>IF(AND(BD92=0,$B92&gt;=X$22,$B92&lt;=X$22+ANALYSIS!$G$5,$C92&gt;=X$23,$C92&lt;=X$23+ANALYSIS!$G$6),1,0)</f>
        <v>0</v>
      </c>
      <c r="AO92">
        <f>IF(AND(BE92=0,$B92&gt;=Y$22,$B92&lt;=Y$22+ANALYSIS!$G$5,$C92&gt;=Y$23,$C92&lt;=Y$23+ANALYSIS!$G$6),1,0)</f>
        <v>0</v>
      </c>
      <c r="AP92">
        <f>IF(AND(BF92=0,$B92&gt;=Z$22,$B92&lt;=Z$22+ANALYSIS!$G$5,$C92&gt;=Z$23,$C92&lt;=Z$23+ANALYSIS!$G$6),1,0)</f>
        <v>0</v>
      </c>
      <c r="AQ92">
        <f>IF(AND(BG92=0,$B92&gt;=AA$22,$B92&lt;=AA$22+ANALYSIS!$G$5,$C92&gt;=AA$23,$C92&lt;=AA$23+ANALYSIS!$G$6),1,0)</f>
        <v>0</v>
      </c>
      <c r="AR92">
        <f>IF(AND(BH92=0,$B92&gt;=AB$22,$B92&lt;=AB$22+ANALYSIS!$G$5,$C92&gt;=AB$23,$C92&lt;=AB$23+ANALYSIS!$G$6),1,0)</f>
        <v>0</v>
      </c>
      <c r="AS92">
        <f>IF(AND(BI92=0,$B92&gt;=AC$22,$B92&lt;=AC$22+ANALYSIS!$G$5,$C92&gt;=AC$23,$C92&lt;=AC$23+ANALYSIS!$G$6),1,0)</f>
        <v>0</v>
      </c>
      <c r="AT92">
        <f>IF(AND(BJ92=0,$B92&gt;=AD$22,$B92&lt;=AD$22+ANALYSIS!$G$5,$C92&gt;=AD$23,$C92&lt;=AD$23+ANALYSIS!$G$6),1,0)</f>
        <v>0</v>
      </c>
      <c r="AU92">
        <f>IF(AND(BK92=0,$B92&gt;=AE$22,$B92&lt;=AE$22+ANALYSIS!$G$5,$C92&gt;=AE$23,$C92&lt;=AE$23+ANALYSIS!$G$6),1,0)</f>
        <v>0</v>
      </c>
      <c r="AV92">
        <f>IF(AND(BL92=0,$B92&gt;=AF$22,$B92&lt;=AF$22+ANALYSIS!$G$5,$C92&gt;=AF$23,$C92&lt;=AF$23+ANALYSIS!$G$6),1,0)</f>
        <v>0</v>
      </c>
      <c r="AX92">
        <v>0</v>
      </c>
      <c r="AY92">
        <f t="shared" si="29"/>
        <v>0</v>
      </c>
      <c r="AZ92">
        <f t="shared" si="14"/>
        <v>0</v>
      </c>
      <c r="BA92">
        <f t="shared" si="15"/>
        <v>1</v>
      </c>
      <c r="BB92">
        <f t="shared" si="16"/>
        <v>1</v>
      </c>
      <c r="BC92">
        <f t="shared" si="17"/>
        <v>1</v>
      </c>
      <c r="BD92">
        <f t="shared" si="18"/>
        <v>1</v>
      </c>
      <c r="BE92">
        <f t="shared" si="19"/>
        <v>1</v>
      </c>
      <c r="BF92">
        <f t="shared" si="20"/>
        <v>1</v>
      </c>
      <c r="BG92">
        <f t="shared" si="21"/>
        <v>1</v>
      </c>
      <c r="BH92">
        <f t="shared" si="22"/>
        <v>1</v>
      </c>
      <c r="BI92">
        <f t="shared" si="23"/>
        <v>1</v>
      </c>
      <c r="BJ92">
        <f t="shared" si="24"/>
        <v>1</v>
      </c>
      <c r="BK92">
        <f t="shared" si="25"/>
        <v>1</v>
      </c>
      <c r="BL92">
        <f t="shared" si="26"/>
        <v>1</v>
      </c>
      <c r="BM92">
        <f t="shared" si="27"/>
        <v>1</v>
      </c>
    </row>
    <row r="93" spans="1:65" x14ac:dyDescent="0.25">
      <c r="A93" s="41" t="str">
        <f>ANALYSIS!B99</f>
        <v>20-19</v>
      </c>
      <c r="B93" s="41">
        <f>ANALYSIS!E99</f>
        <v>58</v>
      </c>
      <c r="C93" s="41">
        <f>ANALYSIS!G99</f>
        <v>21.8</v>
      </c>
      <c r="D93" s="41" t="str">
        <f t="shared" si="28"/>
        <v/>
      </c>
      <c r="R93" cm="1">
        <f t="array" ref="R93">IF(AX93&gt;0,0,SUMPRODUCT((AX$25:AX$124=0)*($B$25:$B$124&gt;=$B93)*($B$25:$B$124&lt;=$B93+ANALYSIS!$G$5)*($C$25:$C$124&gt;=$C93)*($C$25:$C$124&lt;=$C93+ANALYSIS!$G$6)))</f>
        <v>1</v>
      </c>
      <c r="S93" cm="1">
        <f t="array" ref="S93">IF(AY93&gt;0,0,SUMPRODUCT((AY$25:AY$124=0)*($B$25:$B$124&gt;=$B93)*($B$25:$B$124&lt;=$B93+ANALYSIS!$G$5)*($C$25:$C$124&gt;=$C93)*($C$25:$C$124&lt;=$C93+ANALYSIS!$G$6)))</f>
        <v>1</v>
      </c>
      <c r="T93" cm="1">
        <f t="array" ref="T93">IF(AZ93&gt;0,0,SUMPRODUCT((AZ$25:AZ$124=0)*($B$25:$B$124&gt;=$B93)*($B$25:$B$124&lt;=$B93+ANALYSIS!$G$5)*($C$25:$C$124&gt;=$C93)*($C$25:$C$124&lt;=$C93+ANALYSIS!$G$6)))</f>
        <v>1</v>
      </c>
      <c r="U93" cm="1">
        <f t="array" ref="U93">IF(BA93&gt;0,0,SUMPRODUCT((BA$25:BA$124=0)*($B$25:$B$124&gt;=$B93)*($B$25:$B$124&lt;=$B93+ANALYSIS!$G$5)*($C$25:$C$124&gt;=$C93)*($C$25:$C$124&lt;=$C93+ANALYSIS!$G$6)))</f>
        <v>1</v>
      </c>
      <c r="V93" cm="1">
        <f t="array" ref="V93">IF(BB93&gt;0,0,SUMPRODUCT((BB$25:BB$124=0)*($B$25:$B$124&gt;=$B93)*($B$25:$B$124&lt;=$B93+ANALYSIS!$G$5)*($C$25:$C$124&gt;=$C93)*($C$25:$C$124&lt;=$C93+ANALYSIS!$G$6)))</f>
        <v>1</v>
      </c>
      <c r="W93" cm="1">
        <f t="array" ref="W93">IF(BC93&gt;0,0,SUMPRODUCT((BC$25:BC$124=0)*($B$25:$B$124&gt;=$B93)*($B$25:$B$124&lt;=$B93+ANALYSIS!$G$5)*($C$25:$C$124&gt;=$C93)*($C$25:$C$124&lt;=$C93+ANALYSIS!$G$6)))</f>
        <v>1</v>
      </c>
      <c r="X93" cm="1">
        <f t="array" ref="X93">IF(BD93&gt;0,0,SUMPRODUCT((BD$25:BD$124=0)*($B$25:$B$124&gt;=$B93)*($B$25:$B$124&lt;=$B93+ANALYSIS!$G$5)*($C$25:$C$124&gt;=$C93)*($C$25:$C$124&lt;=$C93+ANALYSIS!$G$6)))</f>
        <v>1</v>
      </c>
      <c r="Y93" cm="1">
        <f t="array" ref="Y93">IF(BE93&gt;0,0,SUMPRODUCT((BE$25:BE$124=0)*($B$25:$B$124&gt;=$B93)*($B$25:$B$124&lt;=$B93+ANALYSIS!$G$5)*($C$25:$C$124&gt;=$C93)*($C$25:$C$124&lt;=$C93+ANALYSIS!$G$6)))</f>
        <v>1</v>
      </c>
      <c r="Z93" cm="1">
        <f t="array" ref="Z93">IF(BF93&gt;0,0,SUMPRODUCT((BF$25:BF$124=0)*($B$25:$B$124&gt;=$B93)*($B$25:$B$124&lt;=$B93+ANALYSIS!$G$5)*($C$25:$C$124&gt;=$C93)*($C$25:$C$124&lt;=$C93+ANALYSIS!$G$6)))</f>
        <v>1</v>
      </c>
      <c r="AA93" cm="1">
        <f t="array" ref="AA93">IF(BG93&gt;0,0,SUMPRODUCT((BG$25:BG$124=0)*($B$25:$B$124&gt;=$B93)*($B$25:$B$124&lt;=$B93+ANALYSIS!$G$5)*($C$25:$C$124&gt;=$C93)*($C$25:$C$124&lt;=$C93+ANALYSIS!$G$6)))</f>
        <v>1</v>
      </c>
      <c r="AB93" cm="1">
        <f t="array" ref="AB93">IF(BH93&gt;0,0,SUMPRODUCT((BH$25:BH$124=0)*($B$25:$B$124&gt;=$B93)*($B$25:$B$124&lt;=$B93+ANALYSIS!$G$5)*($C$25:$C$124&gt;=$C93)*($C$25:$C$124&lt;=$C93+ANALYSIS!$G$6)))</f>
        <v>1</v>
      </c>
      <c r="AC93" cm="1">
        <f t="array" ref="AC93">IF(BI93&gt;0,0,SUMPRODUCT((BI$25:BI$124=0)*($B$25:$B$124&gt;=$B93)*($B$25:$B$124&lt;=$B93+ANALYSIS!$G$5)*($C$25:$C$124&gt;=$C93)*($C$25:$C$124&lt;=$C93+ANALYSIS!$G$6)))</f>
        <v>1</v>
      </c>
      <c r="AD93" cm="1">
        <f t="array" ref="AD93">IF(BJ93&gt;0,0,SUMPRODUCT((BJ$25:BJ$124=0)*($B$25:$B$124&gt;=$B93)*($B$25:$B$124&lt;=$B93+ANALYSIS!$G$5)*($C$25:$C$124&gt;=$C93)*($C$25:$C$124&lt;=$C93+ANALYSIS!$G$6)))</f>
        <v>1</v>
      </c>
      <c r="AE93" cm="1">
        <f t="array" ref="AE93">IF(BK93&gt;0,0,SUMPRODUCT((BK$25:BK$124=0)*($B$25:$B$124&gt;=$B93)*($B$25:$B$124&lt;=$B93+ANALYSIS!$G$5)*($C$25:$C$124&gt;=$C93)*($C$25:$C$124&lt;=$C93+ANALYSIS!$G$6)))</f>
        <v>1</v>
      </c>
      <c r="AF93" cm="1">
        <f t="array" ref="AF93">IF(BL93&gt;0,0,SUMPRODUCT((BL$25:BL$124=0)*($B$25:$B$124&gt;=$B93)*($B$25:$B$124&lt;=$B93+ANALYSIS!$G$5)*($C$25:$C$124&gt;=$C93)*($C$25:$C$124&lt;=$C93+ANALYSIS!$G$6)))</f>
        <v>1</v>
      </c>
      <c r="AH93">
        <f>IF(AND(AX93=0,$B93&gt;=R$22,$B93&lt;=R$22+ANALYSIS!$G$5,$C93&gt;=R$23,$C93&lt;=R$23+ANALYSIS!$G$6),1,0)</f>
        <v>0</v>
      </c>
      <c r="AI93">
        <f>IF(AND(AY93=0,$B93&gt;=S$22,$B93&lt;=S$22+ANALYSIS!$G$5,$C93&gt;=S$23,$C93&lt;=S$23+ANALYSIS!$G$6),1,0)</f>
        <v>0</v>
      </c>
      <c r="AJ93">
        <f>IF(AND(AZ93=0,$B93&gt;=T$22,$B93&lt;=T$22+ANALYSIS!$G$5,$C93&gt;=T$23,$C93&lt;=T$23+ANALYSIS!$G$6),1,0)</f>
        <v>0</v>
      </c>
      <c r="AK93">
        <f>IF(AND(BA93=0,$B93&gt;=U$22,$B93&lt;=U$22+ANALYSIS!$G$5,$C93&gt;=U$23,$C93&lt;=U$23+ANALYSIS!$G$6),1,0)</f>
        <v>0</v>
      </c>
      <c r="AL93">
        <f>IF(AND(BB93=0,$B93&gt;=V$22,$B93&lt;=V$22+ANALYSIS!$G$5,$C93&gt;=V$23,$C93&lt;=V$23+ANALYSIS!$G$6),1,0)</f>
        <v>0</v>
      </c>
      <c r="AM93">
        <f>IF(AND(BC93=0,$B93&gt;=W$22,$B93&lt;=W$22+ANALYSIS!$G$5,$C93&gt;=W$23,$C93&lt;=W$23+ANALYSIS!$G$6),1,0)</f>
        <v>0</v>
      </c>
      <c r="AN93">
        <f>IF(AND(BD93=0,$B93&gt;=X$22,$B93&lt;=X$22+ANALYSIS!$G$5,$C93&gt;=X$23,$C93&lt;=X$23+ANALYSIS!$G$6),1,0)</f>
        <v>0</v>
      </c>
      <c r="AO93">
        <f>IF(AND(BE93=0,$B93&gt;=Y$22,$B93&lt;=Y$22+ANALYSIS!$G$5,$C93&gt;=Y$23,$C93&lt;=Y$23+ANALYSIS!$G$6),1,0)</f>
        <v>0</v>
      </c>
      <c r="AP93">
        <f>IF(AND(BF93=0,$B93&gt;=Z$22,$B93&lt;=Z$22+ANALYSIS!$G$5,$C93&gt;=Z$23,$C93&lt;=Z$23+ANALYSIS!$G$6),1,0)</f>
        <v>0</v>
      </c>
      <c r="AQ93">
        <f>IF(AND(BG93=0,$B93&gt;=AA$22,$B93&lt;=AA$22+ANALYSIS!$G$5,$C93&gt;=AA$23,$C93&lt;=AA$23+ANALYSIS!$G$6),1,0)</f>
        <v>0</v>
      </c>
      <c r="AR93">
        <f>IF(AND(BH93=0,$B93&gt;=AB$22,$B93&lt;=AB$22+ANALYSIS!$G$5,$C93&gt;=AB$23,$C93&lt;=AB$23+ANALYSIS!$G$6),1,0)</f>
        <v>0</v>
      </c>
      <c r="AS93">
        <f>IF(AND(BI93=0,$B93&gt;=AC$22,$B93&lt;=AC$22+ANALYSIS!$G$5,$C93&gt;=AC$23,$C93&lt;=AC$23+ANALYSIS!$G$6),1,0)</f>
        <v>0</v>
      </c>
      <c r="AT93">
        <f>IF(AND(BJ93=0,$B93&gt;=AD$22,$B93&lt;=AD$22+ANALYSIS!$G$5,$C93&gt;=AD$23,$C93&lt;=AD$23+ANALYSIS!$G$6),1,0)</f>
        <v>0</v>
      </c>
      <c r="AU93">
        <f>IF(AND(BK93=0,$B93&gt;=AE$22,$B93&lt;=AE$22+ANALYSIS!$G$5,$C93&gt;=AE$23,$C93&lt;=AE$23+ANALYSIS!$G$6),1,0)</f>
        <v>0</v>
      </c>
      <c r="AV93">
        <f>IF(AND(BL93=0,$B93&gt;=AF$22,$B93&lt;=AF$22+ANALYSIS!$G$5,$C93&gt;=AF$23,$C93&lt;=AF$23+ANALYSIS!$G$6),1,0)</f>
        <v>0</v>
      </c>
      <c r="AX93">
        <v>0</v>
      </c>
      <c r="AY93">
        <f t="shared" si="29"/>
        <v>0</v>
      </c>
      <c r="AZ93">
        <f t="shared" si="14"/>
        <v>0</v>
      </c>
      <c r="BA93">
        <f t="shared" si="15"/>
        <v>0</v>
      </c>
      <c r="BB93">
        <f t="shared" si="16"/>
        <v>0</v>
      </c>
      <c r="BC93">
        <f t="shared" si="17"/>
        <v>0</v>
      </c>
      <c r="BD93">
        <f t="shared" si="18"/>
        <v>0</v>
      </c>
      <c r="BE93">
        <f t="shared" si="19"/>
        <v>0</v>
      </c>
      <c r="BF93">
        <f t="shared" si="20"/>
        <v>0</v>
      </c>
      <c r="BG93">
        <f t="shared" si="21"/>
        <v>0</v>
      </c>
      <c r="BH93">
        <f t="shared" si="22"/>
        <v>0</v>
      </c>
      <c r="BI93">
        <f t="shared" si="23"/>
        <v>0</v>
      </c>
      <c r="BJ93">
        <f t="shared" si="24"/>
        <v>0</v>
      </c>
      <c r="BK93">
        <f t="shared" si="25"/>
        <v>0</v>
      </c>
      <c r="BL93">
        <f t="shared" si="26"/>
        <v>0</v>
      </c>
      <c r="BM93">
        <f t="shared" si="27"/>
        <v>0</v>
      </c>
    </row>
    <row r="94" spans="1:65" x14ac:dyDescent="0.25">
      <c r="A94" s="41" t="str">
        <f>ANALYSIS!B100</f>
        <v>20-20</v>
      </c>
      <c r="B94" s="41">
        <f>ANALYSIS!E100</f>
        <v>52.5</v>
      </c>
      <c r="C94" s="41">
        <f>ANALYSIS!G100</f>
        <v>22.31</v>
      </c>
      <c r="D94" s="41">
        <f t="shared" si="28"/>
        <v>13</v>
      </c>
      <c r="R94" cm="1">
        <f t="array" ref="R94">IF(AX94&gt;0,0,SUMPRODUCT((AX$25:AX$124=0)*($B$25:$B$124&gt;=$B94)*($B$25:$B$124&lt;=$B94+ANALYSIS!$G$5)*($C$25:$C$124&gt;=$C94)*($C$25:$C$124&lt;=$C94+ANALYSIS!$G$6)))</f>
        <v>6</v>
      </c>
      <c r="S94" cm="1">
        <f t="array" ref="S94">IF(AY94&gt;0,0,SUMPRODUCT((AY$25:AY$124=0)*($B$25:$B$124&gt;=$B94)*($B$25:$B$124&lt;=$B94+ANALYSIS!$G$5)*($C$25:$C$124&gt;=$C94)*($C$25:$C$124&lt;=$C94+ANALYSIS!$G$6)))</f>
        <v>6</v>
      </c>
      <c r="T94" cm="1">
        <f t="array" ref="T94">IF(AZ94&gt;0,0,SUMPRODUCT((AZ$25:AZ$124=0)*($B$25:$B$124&gt;=$B94)*($B$25:$B$124&lt;=$B94+ANALYSIS!$G$5)*($C$25:$C$124&gt;=$C94)*($C$25:$C$124&lt;=$C94+ANALYSIS!$G$6)))</f>
        <v>6</v>
      </c>
      <c r="U94" cm="1">
        <f t="array" ref="U94">IF(BA94&gt;0,0,SUMPRODUCT((BA$25:BA$124=0)*($B$25:$B$124&gt;=$B94)*($B$25:$B$124&lt;=$B94+ANALYSIS!$G$5)*($C$25:$C$124&gt;=$C94)*($C$25:$C$124&lt;=$C94+ANALYSIS!$G$6)))</f>
        <v>6</v>
      </c>
      <c r="V94" cm="1">
        <f t="array" ref="V94">IF(BB94&gt;0,0,SUMPRODUCT((BB$25:BB$124=0)*($B$25:$B$124&gt;=$B94)*($B$25:$B$124&lt;=$B94+ANALYSIS!$G$5)*($C$25:$C$124&gt;=$C94)*($C$25:$C$124&lt;=$C94+ANALYSIS!$G$6)))</f>
        <v>6</v>
      </c>
      <c r="W94" cm="1">
        <f t="array" ref="W94">IF(BC94&gt;0,0,SUMPRODUCT((BC$25:BC$124=0)*($B$25:$B$124&gt;=$B94)*($B$25:$B$124&lt;=$B94+ANALYSIS!$G$5)*($C$25:$C$124&gt;=$C94)*($C$25:$C$124&lt;=$C94+ANALYSIS!$G$6)))</f>
        <v>4</v>
      </c>
      <c r="X94" cm="1">
        <f t="array" ref="X94">IF(BD94&gt;0,0,SUMPRODUCT((BD$25:BD$124=0)*($B$25:$B$124&gt;=$B94)*($B$25:$B$124&lt;=$B94+ANALYSIS!$G$5)*($C$25:$C$124&gt;=$C94)*($C$25:$C$124&lt;=$C94+ANALYSIS!$G$6)))</f>
        <v>4</v>
      </c>
      <c r="Y94" cm="1">
        <f t="array" ref="Y94">IF(BE94&gt;0,0,SUMPRODUCT((BE$25:BE$124=0)*($B$25:$B$124&gt;=$B94)*($B$25:$B$124&lt;=$B94+ANALYSIS!$G$5)*($C$25:$C$124&gt;=$C94)*($C$25:$C$124&lt;=$C94+ANALYSIS!$G$6)))</f>
        <v>2</v>
      </c>
      <c r="Z94" cm="1">
        <f t="array" ref="Z94">IF(BF94&gt;0,0,SUMPRODUCT((BF$25:BF$124=0)*($B$25:$B$124&gt;=$B94)*($B$25:$B$124&lt;=$B94+ANALYSIS!$G$5)*($C$25:$C$124&gt;=$C94)*($C$25:$C$124&lt;=$C94+ANALYSIS!$G$6)))</f>
        <v>1</v>
      </c>
      <c r="AA94" cm="1">
        <f t="array" ref="AA94">IF(BG94&gt;0,0,SUMPRODUCT((BG$25:BG$124=0)*($B$25:$B$124&gt;=$B94)*($B$25:$B$124&lt;=$B94+ANALYSIS!$G$5)*($C$25:$C$124&gt;=$C94)*($C$25:$C$124&lt;=$C94+ANALYSIS!$G$6)))</f>
        <v>1</v>
      </c>
      <c r="AB94" cm="1">
        <f t="array" ref="AB94">IF(BH94&gt;0,0,SUMPRODUCT((BH$25:BH$124=0)*($B$25:$B$124&gt;=$B94)*($B$25:$B$124&lt;=$B94+ANALYSIS!$G$5)*($C$25:$C$124&gt;=$C94)*($C$25:$C$124&lt;=$C94+ANALYSIS!$G$6)))</f>
        <v>1</v>
      </c>
      <c r="AC94" cm="1">
        <f t="array" ref="AC94">IF(BI94&gt;0,0,SUMPRODUCT((BI$25:BI$124=0)*($B$25:$B$124&gt;=$B94)*($B$25:$B$124&lt;=$B94+ANALYSIS!$G$5)*($C$25:$C$124&gt;=$C94)*($C$25:$C$124&lt;=$C94+ANALYSIS!$G$6)))</f>
        <v>1</v>
      </c>
      <c r="AD94" cm="1">
        <f t="array" ref="AD94">IF(BJ94&gt;0,0,SUMPRODUCT((BJ$25:BJ$124=0)*($B$25:$B$124&gt;=$B94)*($B$25:$B$124&lt;=$B94+ANALYSIS!$G$5)*($C$25:$C$124&gt;=$C94)*($C$25:$C$124&lt;=$C94+ANALYSIS!$G$6)))</f>
        <v>1</v>
      </c>
      <c r="AE94" cm="1">
        <f t="array" ref="AE94">IF(BK94&gt;0,0,SUMPRODUCT((BK$25:BK$124=0)*($B$25:$B$124&gt;=$B94)*($B$25:$B$124&lt;=$B94+ANALYSIS!$G$5)*($C$25:$C$124&gt;=$C94)*($C$25:$C$124&lt;=$C94+ANALYSIS!$G$6)))</f>
        <v>0</v>
      </c>
      <c r="AF94" cm="1">
        <f t="array" ref="AF94">IF(BL94&gt;0,0,SUMPRODUCT((BL$25:BL$124=0)*($B$25:$B$124&gt;=$B94)*($B$25:$B$124&lt;=$B94+ANALYSIS!$G$5)*($C$25:$C$124&gt;=$C94)*($C$25:$C$124&lt;=$C94+ANALYSIS!$G$6)))</f>
        <v>0</v>
      </c>
      <c r="AH94">
        <f>IF(AND(AX94=0,$B94&gt;=R$22,$B94&lt;=R$22+ANALYSIS!$G$5,$C94&gt;=R$23,$C94&lt;=R$23+ANALYSIS!$G$6),1,0)</f>
        <v>0</v>
      </c>
      <c r="AI94">
        <f>IF(AND(AY94=0,$B94&gt;=S$22,$B94&lt;=S$22+ANALYSIS!$G$5,$C94&gt;=S$23,$C94&lt;=S$23+ANALYSIS!$G$6),1,0)</f>
        <v>0</v>
      </c>
      <c r="AJ94">
        <f>IF(AND(AZ94=0,$B94&gt;=T$22,$B94&lt;=T$22+ANALYSIS!$G$5,$C94&gt;=T$23,$C94&lt;=T$23+ANALYSIS!$G$6),1,0)</f>
        <v>0</v>
      </c>
      <c r="AK94">
        <f>IF(AND(BA94=0,$B94&gt;=U$22,$B94&lt;=U$22+ANALYSIS!$G$5,$C94&gt;=U$23,$C94&lt;=U$23+ANALYSIS!$G$6),1,0)</f>
        <v>0</v>
      </c>
      <c r="AL94">
        <f>IF(AND(BB94=0,$B94&gt;=V$22,$B94&lt;=V$22+ANALYSIS!$G$5,$C94&gt;=V$23,$C94&lt;=V$23+ANALYSIS!$G$6),1,0)</f>
        <v>0</v>
      </c>
      <c r="AM94">
        <f>IF(AND(BC94=0,$B94&gt;=W$22,$B94&lt;=W$22+ANALYSIS!$G$5,$C94&gt;=W$23,$C94&lt;=W$23+ANALYSIS!$G$6),1,0)</f>
        <v>0</v>
      </c>
      <c r="AN94">
        <f>IF(AND(BD94=0,$B94&gt;=X$22,$B94&lt;=X$22+ANALYSIS!$G$5,$C94&gt;=X$23,$C94&lt;=X$23+ANALYSIS!$G$6),1,0)</f>
        <v>0</v>
      </c>
      <c r="AO94">
        <f>IF(AND(BE94=0,$B94&gt;=Y$22,$B94&lt;=Y$22+ANALYSIS!$G$5,$C94&gt;=Y$23,$C94&lt;=Y$23+ANALYSIS!$G$6),1,0)</f>
        <v>0</v>
      </c>
      <c r="AP94">
        <f>IF(AND(BF94=0,$B94&gt;=Z$22,$B94&lt;=Z$22+ANALYSIS!$G$5,$C94&gt;=Z$23,$C94&lt;=Z$23+ANALYSIS!$G$6),1,0)</f>
        <v>0</v>
      </c>
      <c r="AQ94">
        <f>IF(AND(BG94=0,$B94&gt;=AA$22,$B94&lt;=AA$22+ANALYSIS!$G$5,$C94&gt;=AA$23,$C94&lt;=AA$23+ANALYSIS!$G$6),1,0)</f>
        <v>0</v>
      </c>
      <c r="AR94">
        <f>IF(AND(BH94=0,$B94&gt;=AB$22,$B94&lt;=AB$22+ANALYSIS!$G$5,$C94&gt;=AB$23,$C94&lt;=AB$23+ANALYSIS!$G$6),1,0)</f>
        <v>0</v>
      </c>
      <c r="AS94">
        <f>IF(AND(BI94=0,$B94&gt;=AC$22,$B94&lt;=AC$22+ANALYSIS!$G$5,$C94&gt;=AC$23,$C94&lt;=AC$23+ANALYSIS!$G$6),1,0)</f>
        <v>0</v>
      </c>
      <c r="AT94">
        <f>IF(AND(BJ94=0,$B94&gt;=AD$22,$B94&lt;=AD$22+ANALYSIS!$G$5,$C94&gt;=AD$23,$C94&lt;=AD$23+ANALYSIS!$G$6),1,0)</f>
        <v>1</v>
      </c>
      <c r="AU94">
        <f>IF(AND(BK94=0,$B94&gt;=AE$22,$B94&lt;=AE$22+ANALYSIS!$G$5,$C94&gt;=AE$23,$C94&lt;=AE$23+ANALYSIS!$G$6),1,0)</f>
        <v>0</v>
      </c>
      <c r="AV94">
        <f>IF(AND(BL94=0,$B94&gt;=AF$22,$B94&lt;=AF$22+ANALYSIS!$G$5,$C94&gt;=AF$23,$C94&lt;=AF$23+ANALYSIS!$G$6),1,0)</f>
        <v>0</v>
      </c>
      <c r="AX94">
        <v>0</v>
      </c>
      <c r="AY94">
        <f t="shared" si="29"/>
        <v>0</v>
      </c>
      <c r="AZ94">
        <f t="shared" si="14"/>
        <v>0</v>
      </c>
      <c r="BA94">
        <f t="shared" si="15"/>
        <v>0</v>
      </c>
      <c r="BB94">
        <f t="shared" si="16"/>
        <v>0</v>
      </c>
      <c r="BC94">
        <f t="shared" si="17"/>
        <v>0</v>
      </c>
      <c r="BD94">
        <f t="shared" si="18"/>
        <v>0</v>
      </c>
      <c r="BE94">
        <f t="shared" si="19"/>
        <v>0</v>
      </c>
      <c r="BF94">
        <f t="shared" si="20"/>
        <v>0</v>
      </c>
      <c r="BG94">
        <f t="shared" si="21"/>
        <v>0</v>
      </c>
      <c r="BH94">
        <f t="shared" si="22"/>
        <v>0</v>
      </c>
      <c r="BI94">
        <f t="shared" si="23"/>
        <v>0</v>
      </c>
      <c r="BJ94">
        <f t="shared" si="24"/>
        <v>0</v>
      </c>
      <c r="BK94">
        <f t="shared" si="25"/>
        <v>1</v>
      </c>
      <c r="BL94">
        <f t="shared" si="26"/>
        <v>1</v>
      </c>
      <c r="BM94">
        <f t="shared" si="27"/>
        <v>1</v>
      </c>
    </row>
    <row r="95" spans="1:65" x14ac:dyDescent="0.25">
      <c r="A95" s="41" t="str">
        <f>ANALYSIS!B101</f>
        <v>20-21</v>
      </c>
      <c r="B95" s="41">
        <f>ANALYSIS!E101</f>
        <v>55</v>
      </c>
      <c r="C95" s="41">
        <f>ANALYSIS!G101</f>
        <v>23.94</v>
      </c>
      <c r="D95" s="41">
        <f t="shared" si="28"/>
        <v>1</v>
      </c>
      <c r="R95" cm="1">
        <f t="array" ref="R95">IF(AX95&gt;0,0,SUMPRODUCT((AX$25:AX$124=0)*($B$25:$B$124&gt;=$B95)*($B$25:$B$124&lt;=$B95+ANALYSIS!$G$5)*($C$25:$C$124&gt;=$C95)*($C$25:$C$124&lt;=$C95+ANALYSIS!$G$6)))</f>
        <v>11</v>
      </c>
      <c r="S95" cm="1">
        <f t="array" ref="S95">IF(AY95&gt;0,0,SUMPRODUCT((AY$25:AY$124=0)*($B$25:$B$124&gt;=$B95)*($B$25:$B$124&lt;=$B95+ANALYSIS!$G$5)*($C$25:$C$124&gt;=$C95)*($C$25:$C$124&lt;=$C95+ANALYSIS!$G$6)))</f>
        <v>0</v>
      </c>
      <c r="T95" cm="1">
        <f t="array" ref="T95">IF(AZ95&gt;0,0,SUMPRODUCT((AZ$25:AZ$124=0)*($B$25:$B$124&gt;=$B95)*($B$25:$B$124&lt;=$B95+ANALYSIS!$G$5)*($C$25:$C$124&gt;=$C95)*($C$25:$C$124&lt;=$C95+ANALYSIS!$G$6)))</f>
        <v>0</v>
      </c>
      <c r="U95" cm="1">
        <f t="array" ref="U95">IF(BA95&gt;0,0,SUMPRODUCT((BA$25:BA$124=0)*($B$25:$B$124&gt;=$B95)*($B$25:$B$124&lt;=$B95+ANALYSIS!$G$5)*($C$25:$C$124&gt;=$C95)*($C$25:$C$124&lt;=$C95+ANALYSIS!$G$6)))</f>
        <v>0</v>
      </c>
      <c r="V95" cm="1">
        <f t="array" ref="V95">IF(BB95&gt;0,0,SUMPRODUCT((BB$25:BB$124=0)*($B$25:$B$124&gt;=$B95)*($B$25:$B$124&lt;=$B95+ANALYSIS!$G$5)*($C$25:$C$124&gt;=$C95)*($C$25:$C$124&lt;=$C95+ANALYSIS!$G$6)))</f>
        <v>0</v>
      </c>
      <c r="W95" cm="1">
        <f t="array" ref="W95">IF(BC95&gt;0,0,SUMPRODUCT((BC$25:BC$124=0)*($B$25:$B$124&gt;=$B95)*($B$25:$B$124&lt;=$B95+ANALYSIS!$G$5)*($C$25:$C$124&gt;=$C95)*($C$25:$C$124&lt;=$C95+ANALYSIS!$G$6)))</f>
        <v>0</v>
      </c>
      <c r="X95" cm="1">
        <f t="array" ref="X95">IF(BD95&gt;0,0,SUMPRODUCT((BD$25:BD$124=0)*($B$25:$B$124&gt;=$B95)*($B$25:$B$124&lt;=$B95+ANALYSIS!$G$5)*($C$25:$C$124&gt;=$C95)*($C$25:$C$124&lt;=$C95+ANALYSIS!$G$6)))</f>
        <v>0</v>
      </c>
      <c r="Y95" cm="1">
        <f t="array" ref="Y95">IF(BE95&gt;0,0,SUMPRODUCT((BE$25:BE$124=0)*($B$25:$B$124&gt;=$B95)*($B$25:$B$124&lt;=$B95+ANALYSIS!$G$5)*($C$25:$C$124&gt;=$C95)*($C$25:$C$124&lt;=$C95+ANALYSIS!$G$6)))</f>
        <v>0</v>
      </c>
      <c r="Z95" cm="1">
        <f t="array" ref="Z95">IF(BF95&gt;0,0,SUMPRODUCT((BF$25:BF$124=0)*($B$25:$B$124&gt;=$B95)*($B$25:$B$124&lt;=$B95+ANALYSIS!$G$5)*($C$25:$C$124&gt;=$C95)*($C$25:$C$124&lt;=$C95+ANALYSIS!$G$6)))</f>
        <v>0</v>
      </c>
      <c r="AA95" cm="1">
        <f t="array" ref="AA95">IF(BG95&gt;0,0,SUMPRODUCT((BG$25:BG$124=0)*($B$25:$B$124&gt;=$B95)*($B$25:$B$124&lt;=$B95+ANALYSIS!$G$5)*($C$25:$C$124&gt;=$C95)*($C$25:$C$124&lt;=$C95+ANALYSIS!$G$6)))</f>
        <v>0</v>
      </c>
      <c r="AB95" cm="1">
        <f t="array" ref="AB95">IF(BH95&gt;0,0,SUMPRODUCT((BH$25:BH$124=0)*($B$25:$B$124&gt;=$B95)*($B$25:$B$124&lt;=$B95+ANALYSIS!$G$5)*($C$25:$C$124&gt;=$C95)*($C$25:$C$124&lt;=$C95+ANALYSIS!$G$6)))</f>
        <v>0</v>
      </c>
      <c r="AC95" cm="1">
        <f t="array" ref="AC95">IF(BI95&gt;0,0,SUMPRODUCT((BI$25:BI$124=0)*($B$25:$B$124&gt;=$B95)*($B$25:$B$124&lt;=$B95+ANALYSIS!$G$5)*($C$25:$C$124&gt;=$C95)*($C$25:$C$124&lt;=$C95+ANALYSIS!$G$6)))</f>
        <v>0</v>
      </c>
      <c r="AD95" cm="1">
        <f t="array" ref="AD95">IF(BJ95&gt;0,0,SUMPRODUCT((BJ$25:BJ$124=0)*($B$25:$B$124&gt;=$B95)*($B$25:$B$124&lt;=$B95+ANALYSIS!$G$5)*($C$25:$C$124&gt;=$C95)*($C$25:$C$124&lt;=$C95+ANALYSIS!$G$6)))</f>
        <v>0</v>
      </c>
      <c r="AE95" cm="1">
        <f t="array" ref="AE95">IF(BK95&gt;0,0,SUMPRODUCT((BK$25:BK$124=0)*($B$25:$B$124&gt;=$B95)*($B$25:$B$124&lt;=$B95+ANALYSIS!$G$5)*($C$25:$C$124&gt;=$C95)*($C$25:$C$124&lt;=$C95+ANALYSIS!$G$6)))</f>
        <v>0</v>
      </c>
      <c r="AF95" cm="1">
        <f t="array" ref="AF95">IF(BL95&gt;0,0,SUMPRODUCT((BL$25:BL$124=0)*($B$25:$B$124&gt;=$B95)*($B$25:$B$124&lt;=$B95+ANALYSIS!$G$5)*($C$25:$C$124&gt;=$C95)*($C$25:$C$124&lt;=$C95+ANALYSIS!$G$6)))</f>
        <v>0</v>
      </c>
      <c r="AH95">
        <f>IF(AND(AX95=0,$B95&gt;=R$22,$B95&lt;=R$22+ANALYSIS!$G$5,$C95&gt;=R$23,$C95&lt;=R$23+ANALYSIS!$G$6),1,0)</f>
        <v>1</v>
      </c>
      <c r="AI95">
        <f>IF(AND(AY95=0,$B95&gt;=S$22,$B95&lt;=S$22+ANALYSIS!$G$5,$C95&gt;=S$23,$C95&lt;=S$23+ANALYSIS!$G$6),1,0)</f>
        <v>0</v>
      </c>
      <c r="AJ95">
        <f>IF(AND(AZ95=0,$B95&gt;=T$22,$B95&lt;=T$22+ANALYSIS!$G$5,$C95&gt;=T$23,$C95&lt;=T$23+ANALYSIS!$G$6),1,0)</f>
        <v>0</v>
      </c>
      <c r="AK95">
        <f>IF(AND(BA95=0,$B95&gt;=U$22,$B95&lt;=U$22+ANALYSIS!$G$5,$C95&gt;=U$23,$C95&lt;=U$23+ANALYSIS!$G$6),1,0)</f>
        <v>0</v>
      </c>
      <c r="AL95">
        <f>IF(AND(BB95=0,$B95&gt;=V$22,$B95&lt;=V$22+ANALYSIS!$G$5,$C95&gt;=V$23,$C95&lt;=V$23+ANALYSIS!$G$6),1,0)</f>
        <v>0</v>
      </c>
      <c r="AM95">
        <f>IF(AND(BC95=0,$B95&gt;=W$22,$B95&lt;=W$22+ANALYSIS!$G$5,$C95&gt;=W$23,$C95&lt;=W$23+ANALYSIS!$G$6),1,0)</f>
        <v>0</v>
      </c>
      <c r="AN95">
        <f>IF(AND(BD95=0,$B95&gt;=X$22,$B95&lt;=X$22+ANALYSIS!$G$5,$C95&gt;=X$23,$C95&lt;=X$23+ANALYSIS!$G$6),1,0)</f>
        <v>0</v>
      </c>
      <c r="AO95">
        <f>IF(AND(BE95=0,$B95&gt;=Y$22,$B95&lt;=Y$22+ANALYSIS!$G$5,$C95&gt;=Y$23,$C95&lt;=Y$23+ANALYSIS!$G$6),1,0)</f>
        <v>0</v>
      </c>
      <c r="AP95">
        <f>IF(AND(BF95=0,$B95&gt;=Z$22,$B95&lt;=Z$22+ANALYSIS!$G$5,$C95&gt;=Z$23,$C95&lt;=Z$23+ANALYSIS!$G$6),1,0)</f>
        <v>0</v>
      </c>
      <c r="AQ95">
        <f>IF(AND(BG95=0,$B95&gt;=AA$22,$B95&lt;=AA$22+ANALYSIS!$G$5,$C95&gt;=AA$23,$C95&lt;=AA$23+ANALYSIS!$G$6),1,0)</f>
        <v>0</v>
      </c>
      <c r="AR95">
        <f>IF(AND(BH95=0,$B95&gt;=AB$22,$B95&lt;=AB$22+ANALYSIS!$G$5,$C95&gt;=AB$23,$C95&lt;=AB$23+ANALYSIS!$G$6),1,0)</f>
        <v>0</v>
      </c>
      <c r="AS95">
        <f>IF(AND(BI95=0,$B95&gt;=AC$22,$B95&lt;=AC$22+ANALYSIS!$G$5,$C95&gt;=AC$23,$C95&lt;=AC$23+ANALYSIS!$G$6),1,0)</f>
        <v>0</v>
      </c>
      <c r="AT95">
        <f>IF(AND(BJ95=0,$B95&gt;=AD$22,$B95&lt;=AD$22+ANALYSIS!$G$5,$C95&gt;=AD$23,$C95&lt;=AD$23+ANALYSIS!$G$6),1,0)</f>
        <v>0</v>
      </c>
      <c r="AU95">
        <f>IF(AND(BK95=0,$B95&gt;=AE$22,$B95&lt;=AE$22+ANALYSIS!$G$5,$C95&gt;=AE$23,$C95&lt;=AE$23+ANALYSIS!$G$6),1,0)</f>
        <v>0</v>
      </c>
      <c r="AV95">
        <f>IF(AND(BL95=0,$B95&gt;=AF$22,$B95&lt;=AF$22+ANALYSIS!$G$5,$C95&gt;=AF$23,$C95&lt;=AF$23+ANALYSIS!$G$6),1,0)</f>
        <v>0</v>
      </c>
      <c r="AX95">
        <v>0</v>
      </c>
      <c r="AY95">
        <f t="shared" si="29"/>
        <v>1</v>
      </c>
      <c r="AZ95">
        <f t="shared" si="14"/>
        <v>1</v>
      </c>
      <c r="BA95">
        <f t="shared" si="15"/>
        <v>1</v>
      </c>
      <c r="BB95">
        <f t="shared" si="16"/>
        <v>1</v>
      </c>
      <c r="BC95">
        <f t="shared" si="17"/>
        <v>1</v>
      </c>
      <c r="BD95">
        <f t="shared" si="18"/>
        <v>1</v>
      </c>
      <c r="BE95">
        <f t="shared" si="19"/>
        <v>1</v>
      </c>
      <c r="BF95">
        <f t="shared" si="20"/>
        <v>1</v>
      </c>
      <c r="BG95">
        <f t="shared" si="21"/>
        <v>1</v>
      </c>
      <c r="BH95">
        <f t="shared" si="22"/>
        <v>1</v>
      </c>
      <c r="BI95">
        <f t="shared" si="23"/>
        <v>1</v>
      </c>
      <c r="BJ95">
        <f t="shared" si="24"/>
        <v>1</v>
      </c>
      <c r="BK95">
        <f t="shared" si="25"/>
        <v>1</v>
      </c>
      <c r="BL95">
        <f t="shared" si="26"/>
        <v>1</v>
      </c>
      <c r="BM95">
        <f t="shared" si="27"/>
        <v>1</v>
      </c>
    </row>
    <row r="96" spans="1:65" x14ac:dyDescent="0.25">
      <c r="A96" s="41" t="str">
        <f>ANALYSIS!B102</f>
        <v>20-22</v>
      </c>
      <c r="B96" s="41">
        <f>ANALYSIS!E102</f>
        <v>56</v>
      </c>
      <c r="C96" s="41">
        <f>ANALYSIS!G102</f>
        <v>22.44</v>
      </c>
      <c r="D96" s="41">
        <f t="shared" si="28"/>
        <v>5</v>
      </c>
      <c r="R96" cm="1">
        <f t="array" ref="R96">IF(AX96&gt;0,0,SUMPRODUCT((AX$25:AX$124=0)*($B$25:$B$124&gt;=$B96)*($B$25:$B$124&lt;=$B96+ANALYSIS!$G$5)*($C$25:$C$124&gt;=$C96)*($C$25:$C$124&lt;=$C96+ANALYSIS!$G$6)))</f>
        <v>2</v>
      </c>
      <c r="S96" cm="1">
        <f t="array" ref="S96">IF(AY96&gt;0,0,SUMPRODUCT((AY$25:AY$124=0)*($B$25:$B$124&gt;=$B96)*($B$25:$B$124&lt;=$B96+ANALYSIS!$G$5)*($C$25:$C$124&gt;=$C96)*($C$25:$C$124&lt;=$C96+ANALYSIS!$G$6)))</f>
        <v>2</v>
      </c>
      <c r="T96" cm="1">
        <f t="array" ref="T96">IF(AZ96&gt;0,0,SUMPRODUCT((AZ$25:AZ$124=0)*($B$25:$B$124&gt;=$B96)*($B$25:$B$124&lt;=$B96+ANALYSIS!$G$5)*($C$25:$C$124&gt;=$C96)*($C$25:$C$124&lt;=$C96+ANALYSIS!$G$6)))</f>
        <v>2</v>
      </c>
      <c r="U96" cm="1">
        <f t="array" ref="U96">IF(BA96&gt;0,0,SUMPRODUCT((BA$25:BA$124=0)*($B$25:$B$124&gt;=$B96)*($B$25:$B$124&lt;=$B96+ANALYSIS!$G$5)*($C$25:$C$124&gt;=$C96)*($C$25:$C$124&lt;=$C96+ANALYSIS!$G$6)))</f>
        <v>2</v>
      </c>
      <c r="V96" cm="1">
        <f t="array" ref="V96">IF(BB96&gt;0,0,SUMPRODUCT((BB$25:BB$124=0)*($B$25:$B$124&gt;=$B96)*($B$25:$B$124&lt;=$B96+ANALYSIS!$G$5)*($C$25:$C$124&gt;=$C96)*($C$25:$C$124&lt;=$C96+ANALYSIS!$G$6)))</f>
        <v>2</v>
      </c>
      <c r="W96" cm="1">
        <f t="array" ref="W96">IF(BC96&gt;0,0,SUMPRODUCT((BC$25:BC$124=0)*($B$25:$B$124&gt;=$B96)*($B$25:$B$124&lt;=$B96+ANALYSIS!$G$5)*($C$25:$C$124&gt;=$C96)*($C$25:$C$124&lt;=$C96+ANALYSIS!$G$6)))</f>
        <v>0</v>
      </c>
      <c r="X96" cm="1">
        <f t="array" ref="X96">IF(BD96&gt;0,0,SUMPRODUCT((BD$25:BD$124=0)*($B$25:$B$124&gt;=$B96)*($B$25:$B$124&lt;=$B96+ANALYSIS!$G$5)*($C$25:$C$124&gt;=$C96)*($C$25:$C$124&lt;=$C96+ANALYSIS!$G$6)))</f>
        <v>0</v>
      </c>
      <c r="Y96" cm="1">
        <f t="array" ref="Y96">IF(BE96&gt;0,0,SUMPRODUCT((BE$25:BE$124=0)*($B$25:$B$124&gt;=$B96)*($B$25:$B$124&lt;=$B96+ANALYSIS!$G$5)*($C$25:$C$124&gt;=$C96)*($C$25:$C$124&lt;=$C96+ANALYSIS!$G$6)))</f>
        <v>0</v>
      </c>
      <c r="Z96" cm="1">
        <f t="array" ref="Z96">IF(BF96&gt;0,0,SUMPRODUCT((BF$25:BF$124=0)*($B$25:$B$124&gt;=$B96)*($B$25:$B$124&lt;=$B96+ANALYSIS!$G$5)*($C$25:$C$124&gt;=$C96)*($C$25:$C$124&lt;=$C96+ANALYSIS!$G$6)))</f>
        <v>0</v>
      </c>
      <c r="AA96" cm="1">
        <f t="array" ref="AA96">IF(BG96&gt;0,0,SUMPRODUCT((BG$25:BG$124=0)*($B$25:$B$124&gt;=$B96)*($B$25:$B$124&lt;=$B96+ANALYSIS!$G$5)*($C$25:$C$124&gt;=$C96)*($C$25:$C$124&lt;=$C96+ANALYSIS!$G$6)))</f>
        <v>0</v>
      </c>
      <c r="AB96" cm="1">
        <f t="array" ref="AB96">IF(BH96&gt;0,0,SUMPRODUCT((BH$25:BH$124=0)*($B$25:$B$124&gt;=$B96)*($B$25:$B$124&lt;=$B96+ANALYSIS!$G$5)*($C$25:$C$124&gt;=$C96)*($C$25:$C$124&lt;=$C96+ANALYSIS!$G$6)))</f>
        <v>0</v>
      </c>
      <c r="AC96" cm="1">
        <f t="array" ref="AC96">IF(BI96&gt;0,0,SUMPRODUCT((BI$25:BI$124=0)*($B$25:$B$124&gt;=$B96)*($B$25:$B$124&lt;=$B96+ANALYSIS!$G$5)*($C$25:$C$124&gt;=$C96)*($C$25:$C$124&lt;=$C96+ANALYSIS!$G$6)))</f>
        <v>0</v>
      </c>
      <c r="AD96" cm="1">
        <f t="array" ref="AD96">IF(BJ96&gt;0,0,SUMPRODUCT((BJ$25:BJ$124=0)*($B$25:$B$124&gt;=$B96)*($B$25:$B$124&lt;=$B96+ANALYSIS!$G$5)*($C$25:$C$124&gt;=$C96)*($C$25:$C$124&lt;=$C96+ANALYSIS!$G$6)))</f>
        <v>0</v>
      </c>
      <c r="AE96" cm="1">
        <f t="array" ref="AE96">IF(BK96&gt;0,0,SUMPRODUCT((BK$25:BK$124=0)*($B$25:$B$124&gt;=$B96)*($B$25:$B$124&lt;=$B96+ANALYSIS!$G$5)*($C$25:$C$124&gt;=$C96)*($C$25:$C$124&lt;=$C96+ANALYSIS!$G$6)))</f>
        <v>0</v>
      </c>
      <c r="AF96" cm="1">
        <f t="array" ref="AF96">IF(BL96&gt;0,0,SUMPRODUCT((BL$25:BL$124=0)*($B$25:$B$124&gt;=$B96)*($B$25:$B$124&lt;=$B96+ANALYSIS!$G$5)*($C$25:$C$124&gt;=$C96)*($C$25:$C$124&lt;=$C96+ANALYSIS!$G$6)))</f>
        <v>0</v>
      </c>
      <c r="AH96">
        <f>IF(AND(AX96=0,$B96&gt;=R$22,$B96&lt;=R$22+ANALYSIS!$G$5,$C96&gt;=R$23,$C96&lt;=R$23+ANALYSIS!$G$6),1,0)</f>
        <v>0</v>
      </c>
      <c r="AI96">
        <f>IF(AND(AY96=0,$B96&gt;=S$22,$B96&lt;=S$22+ANALYSIS!$G$5,$C96&gt;=S$23,$C96&lt;=S$23+ANALYSIS!$G$6),1,0)</f>
        <v>0</v>
      </c>
      <c r="AJ96">
        <f>IF(AND(AZ96=0,$B96&gt;=T$22,$B96&lt;=T$22+ANALYSIS!$G$5,$C96&gt;=T$23,$C96&lt;=T$23+ANALYSIS!$G$6),1,0)</f>
        <v>0</v>
      </c>
      <c r="AK96">
        <f>IF(AND(BA96=0,$B96&gt;=U$22,$B96&lt;=U$22+ANALYSIS!$G$5,$C96&gt;=U$23,$C96&lt;=U$23+ANALYSIS!$G$6),1,0)</f>
        <v>0</v>
      </c>
      <c r="AL96">
        <f>IF(AND(BB96=0,$B96&gt;=V$22,$B96&lt;=V$22+ANALYSIS!$G$5,$C96&gt;=V$23,$C96&lt;=V$23+ANALYSIS!$G$6),1,0)</f>
        <v>1</v>
      </c>
      <c r="AM96">
        <f>IF(AND(BC96=0,$B96&gt;=W$22,$B96&lt;=W$22+ANALYSIS!$G$5,$C96&gt;=W$23,$C96&lt;=W$23+ANALYSIS!$G$6),1,0)</f>
        <v>0</v>
      </c>
      <c r="AN96">
        <f>IF(AND(BD96=0,$B96&gt;=X$22,$B96&lt;=X$22+ANALYSIS!$G$5,$C96&gt;=X$23,$C96&lt;=X$23+ANALYSIS!$G$6),1,0)</f>
        <v>0</v>
      </c>
      <c r="AO96">
        <f>IF(AND(BE96=0,$B96&gt;=Y$22,$B96&lt;=Y$22+ANALYSIS!$G$5,$C96&gt;=Y$23,$C96&lt;=Y$23+ANALYSIS!$G$6),1,0)</f>
        <v>0</v>
      </c>
      <c r="AP96">
        <f>IF(AND(BF96=0,$B96&gt;=Z$22,$B96&lt;=Z$22+ANALYSIS!$G$5,$C96&gt;=Z$23,$C96&lt;=Z$23+ANALYSIS!$G$6),1,0)</f>
        <v>0</v>
      </c>
      <c r="AQ96">
        <f>IF(AND(BG96=0,$B96&gt;=AA$22,$B96&lt;=AA$22+ANALYSIS!$G$5,$C96&gt;=AA$23,$C96&lt;=AA$23+ANALYSIS!$G$6),1,0)</f>
        <v>0</v>
      </c>
      <c r="AR96">
        <f>IF(AND(BH96=0,$B96&gt;=AB$22,$B96&lt;=AB$22+ANALYSIS!$G$5,$C96&gt;=AB$23,$C96&lt;=AB$23+ANALYSIS!$G$6),1,0)</f>
        <v>0</v>
      </c>
      <c r="AS96">
        <f>IF(AND(BI96=0,$B96&gt;=AC$22,$B96&lt;=AC$22+ANALYSIS!$G$5,$C96&gt;=AC$23,$C96&lt;=AC$23+ANALYSIS!$G$6),1,0)</f>
        <v>0</v>
      </c>
      <c r="AT96">
        <f>IF(AND(BJ96=0,$B96&gt;=AD$22,$B96&lt;=AD$22+ANALYSIS!$G$5,$C96&gt;=AD$23,$C96&lt;=AD$23+ANALYSIS!$G$6),1,0)</f>
        <v>0</v>
      </c>
      <c r="AU96">
        <f>IF(AND(BK96=0,$B96&gt;=AE$22,$B96&lt;=AE$22+ANALYSIS!$G$5,$C96&gt;=AE$23,$C96&lt;=AE$23+ANALYSIS!$G$6),1,0)</f>
        <v>0</v>
      </c>
      <c r="AV96">
        <f>IF(AND(BL96=0,$B96&gt;=AF$22,$B96&lt;=AF$22+ANALYSIS!$G$5,$C96&gt;=AF$23,$C96&lt;=AF$23+ANALYSIS!$G$6),1,0)</f>
        <v>0</v>
      </c>
      <c r="AX96">
        <v>0</v>
      </c>
      <c r="AY96">
        <f t="shared" si="29"/>
        <v>0</v>
      </c>
      <c r="AZ96">
        <f t="shared" si="14"/>
        <v>0</v>
      </c>
      <c r="BA96">
        <f t="shared" si="15"/>
        <v>0</v>
      </c>
      <c r="BB96">
        <f t="shared" si="16"/>
        <v>0</v>
      </c>
      <c r="BC96">
        <f t="shared" si="17"/>
        <v>1</v>
      </c>
      <c r="BD96">
        <f t="shared" si="18"/>
        <v>1</v>
      </c>
      <c r="BE96">
        <f t="shared" si="19"/>
        <v>1</v>
      </c>
      <c r="BF96">
        <f t="shared" si="20"/>
        <v>1</v>
      </c>
      <c r="BG96">
        <f t="shared" si="21"/>
        <v>1</v>
      </c>
      <c r="BH96">
        <f t="shared" si="22"/>
        <v>1</v>
      </c>
      <c r="BI96">
        <f t="shared" si="23"/>
        <v>1</v>
      </c>
      <c r="BJ96">
        <f t="shared" si="24"/>
        <v>1</v>
      </c>
      <c r="BK96">
        <f t="shared" si="25"/>
        <v>1</v>
      </c>
      <c r="BL96">
        <f t="shared" si="26"/>
        <v>1</v>
      </c>
      <c r="BM96">
        <f t="shared" si="27"/>
        <v>1</v>
      </c>
    </row>
    <row r="97" spans="1:65" x14ac:dyDescent="0.25">
      <c r="A97" s="41" t="str">
        <f>ANALYSIS!B103</f>
        <v>20-23</v>
      </c>
      <c r="B97" s="41">
        <f>ANALYSIS!E103</f>
        <v>55</v>
      </c>
      <c r="C97" s="41">
        <f>ANALYSIS!G103</f>
        <v>23.82</v>
      </c>
      <c r="D97" s="41">
        <f t="shared" si="28"/>
        <v>6</v>
      </c>
      <c r="R97" cm="1">
        <f t="array" ref="R97">IF(AX97&gt;0,0,SUMPRODUCT((AX$25:AX$124=0)*($B$25:$B$124&gt;=$B97)*($B$25:$B$124&lt;=$B97+ANALYSIS!$G$5)*($C$25:$C$124&gt;=$C97)*($C$25:$C$124&lt;=$C97+ANALYSIS!$G$6)))</f>
        <v>12</v>
      </c>
      <c r="S97" cm="1">
        <f t="array" ref="S97">IF(AY97&gt;0,0,SUMPRODUCT((AY$25:AY$124=0)*($B$25:$B$124&gt;=$B97)*($B$25:$B$124&lt;=$B97+ANALYSIS!$G$5)*($C$25:$C$124&gt;=$C97)*($C$25:$C$124&lt;=$C97+ANALYSIS!$G$6)))</f>
        <v>1</v>
      </c>
      <c r="T97" cm="1">
        <f t="array" ref="T97">IF(AZ97&gt;0,0,SUMPRODUCT((AZ$25:AZ$124=0)*($B$25:$B$124&gt;=$B97)*($B$25:$B$124&lt;=$B97+ANALYSIS!$G$5)*($C$25:$C$124&gt;=$C97)*($C$25:$C$124&lt;=$C97+ANALYSIS!$G$6)))</f>
        <v>1</v>
      </c>
      <c r="U97" cm="1">
        <f t="array" ref="U97">IF(BA97&gt;0,0,SUMPRODUCT((BA$25:BA$124=0)*($B$25:$B$124&gt;=$B97)*($B$25:$B$124&lt;=$B97+ANALYSIS!$G$5)*($C$25:$C$124&gt;=$C97)*($C$25:$C$124&lt;=$C97+ANALYSIS!$G$6)))</f>
        <v>1</v>
      </c>
      <c r="V97" cm="1">
        <f t="array" ref="V97">IF(BB97&gt;0,0,SUMPRODUCT((BB$25:BB$124=0)*($B$25:$B$124&gt;=$B97)*($B$25:$B$124&lt;=$B97+ANALYSIS!$G$5)*($C$25:$C$124&gt;=$C97)*($C$25:$C$124&lt;=$C97+ANALYSIS!$G$6)))</f>
        <v>1</v>
      </c>
      <c r="W97" cm="1">
        <f t="array" ref="W97">IF(BC97&gt;0,0,SUMPRODUCT((BC$25:BC$124=0)*($B$25:$B$124&gt;=$B97)*($B$25:$B$124&lt;=$B97+ANALYSIS!$G$5)*($C$25:$C$124&gt;=$C97)*($C$25:$C$124&lt;=$C97+ANALYSIS!$G$6)))</f>
        <v>1</v>
      </c>
      <c r="X97" cm="1">
        <f t="array" ref="X97">IF(BD97&gt;0,0,SUMPRODUCT((BD$25:BD$124=0)*($B$25:$B$124&gt;=$B97)*($B$25:$B$124&lt;=$B97+ANALYSIS!$G$5)*($C$25:$C$124&gt;=$C97)*($C$25:$C$124&lt;=$C97+ANALYSIS!$G$6)))</f>
        <v>0</v>
      </c>
      <c r="Y97" cm="1">
        <f t="array" ref="Y97">IF(BE97&gt;0,0,SUMPRODUCT((BE$25:BE$124=0)*($B$25:$B$124&gt;=$B97)*($B$25:$B$124&lt;=$B97+ANALYSIS!$G$5)*($C$25:$C$124&gt;=$C97)*($C$25:$C$124&lt;=$C97+ANALYSIS!$G$6)))</f>
        <v>0</v>
      </c>
      <c r="Z97" cm="1">
        <f t="array" ref="Z97">IF(BF97&gt;0,0,SUMPRODUCT((BF$25:BF$124=0)*($B$25:$B$124&gt;=$B97)*($B$25:$B$124&lt;=$B97+ANALYSIS!$G$5)*($C$25:$C$124&gt;=$C97)*($C$25:$C$124&lt;=$C97+ANALYSIS!$G$6)))</f>
        <v>0</v>
      </c>
      <c r="AA97" cm="1">
        <f t="array" ref="AA97">IF(BG97&gt;0,0,SUMPRODUCT((BG$25:BG$124=0)*($B$25:$B$124&gt;=$B97)*($B$25:$B$124&lt;=$B97+ANALYSIS!$G$5)*($C$25:$C$124&gt;=$C97)*($C$25:$C$124&lt;=$C97+ANALYSIS!$G$6)))</f>
        <v>0</v>
      </c>
      <c r="AB97" cm="1">
        <f t="array" ref="AB97">IF(BH97&gt;0,0,SUMPRODUCT((BH$25:BH$124=0)*($B$25:$B$124&gt;=$B97)*($B$25:$B$124&lt;=$B97+ANALYSIS!$G$5)*($C$25:$C$124&gt;=$C97)*($C$25:$C$124&lt;=$C97+ANALYSIS!$G$6)))</f>
        <v>0</v>
      </c>
      <c r="AC97" cm="1">
        <f t="array" ref="AC97">IF(BI97&gt;0,0,SUMPRODUCT((BI$25:BI$124=0)*($B$25:$B$124&gt;=$B97)*($B$25:$B$124&lt;=$B97+ANALYSIS!$G$5)*($C$25:$C$124&gt;=$C97)*($C$25:$C$124&lt;=$C97+ANALYSIS!$G$6)))</f>
        <v>0</v>
      </c>
      <c r="AD97" cm="1">
        <f t="array" ref="AD97">IF(BJ97&gt;0,0,SUMPRODUCT((BJ$25:BJ$124=0)*($B$25:$B$124&gt;=$B97)*($B$25:$B$124&lt;=$B97+ANALYSIS!$G$5)*($C$25:$C$124&gt;=$C97)*($C$25:$C$124&lt;=$C97+ANALYSIS!$G$6)))</f>
        <v>0</v>
      </c>
      <c r="AE97" cm="1">
        <f t="array" ref="AE97">IF(BK97&gt;0,0,SUMPRODUCT((BK$25:BK$124=0)*($B$25:$B$124&gt;=$B97)*($B$25:$B$124&lt;=$B97+ANALYSIS!$G$5)*($C$25:$C$124&gt;=$C97)*($C$25:$C$124&lt;=$C97+ANALYSIS!$G$6)))</f>
        <v>0</v>
      </c>
      <c r="AF97" cm="1">
        <f t="array" ref="AF97">IF(BL97&gt;0,0,SUMPRODUCT((BL$25:BL$124=0)*($B$25:$B$124&gt;=$B97)*($B$25:$B$124&lt;=$B97+ANALYSIS!$G$5)*($C$25:$C$124&gt;=$C97)*($C$25:$C$124&lt;=$C97+ANALYSIS!$G$6)))</f>
        <v>0</v>
      </c>
      <c r="AH97">
        <f>IF(AND(AX97=0,$B97&gt;=R$22,$B97&lt;=R$22+ANALYSIS!$G$5,$C97&gt;=R$23,$C97&lt;=R$23+ANALYSIS!$G$6),1,0)</f>
        <v>0</v>
      </c>
      <c r="AI97">
        <f>IF(AND(AY97=0,$B97&gt;=S$22,$B97&lt;=S$22+ANALYSIS!$G$5,$C97&gt;=S$23,$C97&lt;=S$23+ANALYSIS!$G$6),1,0)</f>
        <v>0</v>
      </c>
      <c r="AJ97">
        <f>IF(AND(AZ97=0,$B97&gt;=T$22,$B97&lt;=T$22+ANALYSIS!$G$5,$C97&gt;=T$23,$C97&lt;=T$23+ANALYSIS!$G$6),1,0)</f>
        <v>0</v>
      </c>
      <c r="AK97">
        <f>IF(AND(BA97=0,$B97&gt;=U$22,$B97&lt;=U$22+ANALYSIS!$G$5,$C97&gt;=U$23,$C97&lt;=U$23+ANALYSIS!$G$6),1,0)</f>
        <v>0</v>
      </c>
      <c r="AL97">
        <f>IF(AND(BB97=0,$B97&gt;=V$22,$B97&lt;=V$22+ANALYSIS!$G$5,$C97&gt;=V$23,$C97&lt;=V$23+ANALYSIS!$G$6),1,0)</f>
        <v>0</v>
      </c>
      <c r="AM97">
        <f>IF(AND(BC97=0,$B97&gt;=W$22,$B97&lt;=W$22+ANALYSIS!$G$5,$C97&gt;=W$23,$C97&lt;=W$23+ANALYSIS!$G$6),1,0)</f>
        <v>1</v>
      </c>
      <c r="AN97">
        <f>IF(AND(BD97=0,$B97&gt;=X$22,$B97&lt;=X$22+ANALYSIS!$G$5,$C97&gt;=X$23,$C97&lt;=X$23+ANALYSIS!$G$6),1,0)</f>
        <v>0</v>
      </c>
      <c r="AO97">
        <f>IF(AND(BE97=0,$B97&gt;=Y$22,$B97&lt;=Y$22+ANALYSIS!$G$5,$C97&gt;=Y$23,$C97&lt;=Y$23+ANALYSIS!$G$6),1,0)</f>
        <v>0</v>
      </c>
      <c r="AP97">
        <f>IF(AND(BF97=0,$B97&gt;=Z$22,$B97&lt;=Z$22+ANALYSIS!$G$5,$C97&gt;=Z$23,$C97&lt;=Z$23+ANALYSIS!$G$6),1,0)</f>
        <v>0</v>
      </c>
      <c r="AQ97">
        <f>IF(AND(BG97=0,$B97&gt;=AA$22,$B97&lt;=AA$22+ANALYSIS!$G$5,$C97&gt;=AA$23,$C97&lt;=AA$23+ANALYSIS!$G$6),1,0)</f>
        <v>0</v>
      </c>
      <c r="AR97">
        <f>IF(AND(BH97=0,$B97&gt;=AB$22,$B97&lt;=AB$22+ANALYSIS!$G$5,$C97&gt;=AB$23,$C97&lt;=AB$23+ANALYSIS!$G$6),1,0)</f>
        <v>0</v>
      </c>
      <c r="AS97">
        <f>IF(AND(BI97=0,$B97&gt;=AC$22,$B97&lt;=AC$22+ANALYSIS!$G$5,$C97&gt;=AC$23,$C97&lt;=AC$23+ANALYSIS!$G$6),1,0)</f>
        <v>0</v>
      </c>
      <c r="AT97">
        <f>IF(AND(BJ97=0,$B97&gt;=AD$22,$B97&lt;=AD$22+ANALYSIS!$G$5,$C97&gt;=AD$23,$C97&lt;=AD$23+ANALYSIS!$G$6),1,0)</f>
        <v>0</v>
      </c>
      <c r="AU97">
        <f>IF(AND(BK97=0,$B97&gt;=AE$22,$B97&lt;=AE$22+ANALYSIS!$G$5,$C97&gt;=AE$23,$C97&lt;=AE$23+ANALYSIS!$G$6),1,0)</f>
        <v>0</v>
      </c>
      <c r="AV97">
        <f>IF(AND(BL97=0,$B97&gt;=AF$22,$B97&lt;=AF$22+ANALYSIS!$G$5,$C97&gt;=AF$23,$C97&lt;=AF$23+ANALYSIS!$G$6),1,0)</f>
        <v>0</v>
      </c>
      <c r="AX97">
        <v>0</v>
      </c>
      <c r="AY97">
        <f t="shared" si="29"/>
        <v>0</v>
      </c>
      <c r="AZ97">
        <f t="shared" si="14"/>
        <v>0</v>
      </c>
      <c r="BA97">
        <f t="shared" si="15"/>
        <v>0</v>
      </c>
      <c r="BB97">
        <f t="shared" si="16"/>
        <v>0</v>
      </c>
      <c r="BC97">
        <f t="shared" si="17"/>
        <v>0</v>
      </c>
      <c r="BD97">
        <f t="shared" si="18"/>
        <v>1</v>
      </c>
      <c r="BE97">
        <f t="shared" si="19"/>
        <v>1</v>
      </c>
      <c r="BF97">
        <f t="shared" si="20"/>
        <v>1</v>
      </c>
      <c r="BG97">
        <f t="shared" si="21"/>
        <v>1</v>
      </c>
      <c r="BH97">
        <f t="shared" si="22"/>
        <v>1</v>
      </c>
      <c r="BI97">
        <f t="shared" si="23"/>
        <v>1</v>
      </c>
      <c r="BJ97">
        <f t="shared" si="24"/>
        <v>1</v>
      </c>
      <c r="BK97">
        <f t="shared" si="25"/>
        <v>1</v>
      </c>
      <c r="BL97">
        <f t="shared" si="26"/>
        <v>1</v>
      </c>
      <c r="BM97">
        <f t="shared" si="27"/>
        <v>1</v>
      </c>
    </row>
    <row r="98" spans="1:65" x14ac:dyDescent="0.25">
      <c r="A98" s="41" t="str">
        <f>ANALYSIS!B104</f>
        <v>20-24</v>
      </c>
      <c r="B98" s="41">
        <f>ANALYSIS!E104</f>
        <v>58.5</v>
      </c>
      <c r="C98" s="41">
        <f>ANALYSIS!G104</f>
        <v>24.48</v>
      </c>
      <c r="D98" s="41">
        <f t="shared" si="28"/>
        <v>12</v>
      </c>
      <c r="R98" cm="1">
        <f t="array" ref="R98">IF(AX98&gt;0,0,SUMPRODUCT((AX$25:AX$124=0)*($B$25:$B$124&gt;=$B98)*($B$25:$B$124&lt;=$B98+ANALYSIS!$G$5)*($C$25:$C$124&gt;=$C98)*($C$25:$C$124&lt;=$C98+ANALYSIS!$G$6)))</f>
        <v>1</v>
      </c>
      <c r="S98" cm="1">
        <f t="array" ref="S98">IF(AY98&gt;0,0,SUMPRODUCT((AY$25:AY$124=0)*($B$25:$B$124&gt;=$B98)*($B$25:$B$124&lt;=$B98+ANALYSIS!$G$5)*($C$25:$C$124&gt;=$C98)*($C$25:$C$124&lt;=$C98+ANALYSIS!$G$6)))</f>
        <v>1</v>
      </c>
      <c r="T98" cm="1">
        <f t="array" ref="T98">IF(AZ98&gt;0,0,SUMPRODUCT((AZ$25:AZ$124=0)*($B$25:$B$124&gt;=$B98)*($B$25:$B$124&lt;=$B98+ANALYSIS!$G$5)*($C$25:$C$124&gt;=$C98)*($C$25:$C$124&lt;=$C98+ANALYSIS!$G$6)))</f>
        <v>1</v>
      </c>
      <c r="U98" cm="1">
        <f t="array" ref="U98">IF(BA98&gt;0,0,SUMPRODUCT((BA$25:BA$124=0)*($B$25:$B$124&gt;=$B98)*($B$25:$B$124&lt;=$B98+ANALYSIS!$G$5)*($C$25:$C$124&gt;=$C98)*($C$25:$C$124&lt;=$C98+ANALYSIS!$G$6)))</f>
        <v>1</v>
      </c>
      <c r="V98" cm="1">
        <f t="array" ref="V98">IF(BB98&gt;0,0,SUMPRODUCT((BB$25:BB$124=0)*($B$25:$B$124&gt;=$B98)*($B$25:$B$124&lt;=$B98+ANALYSIS!$G$5)*($C$25:$C$124&gt;=$C98)*($C$25:$C$124&lt;=$C98+ANALYSIS!$G$6)))</f>
        <v>1</v>
      </c>
      <c r="W98" cm="1">
        <f t="array" ref="W98">IF(BC98&gt;0,0,SUMPRODUCT((BC$25:BC$124=0)*($B$25:$B$124&gt;=$B98)*($B$25:$B$124&lt;=$B98+ANALYSIS!$G$5)*($C$25:$C$124&gt;=$C98)*($C$25:$C$124&lt;=$C98+ANALYSIS!$G$6)))</f>
        <v>1</v>
      </c>
      <c r="X98" cm="1">
        <f t="array" ref="X98">IF(BD98&gt;0,0,SUMPRODUCT((BD$25:BD$124=0)*($B$25:$B$124&gt;=$B98)*($B$25:$B$124&lt;=$B98+ANALYSIS!$G$5)*($C$25:$C$124&gt;=$C98)*($C$25:$C$124&lt;=$C98+ANALYSIS!$G$6)))</f>
        <v>1</v>
      </c>
      <c r="Y98" cm="1">
        <f t="array" ref="Y98">IF(BE98&gt;0,0,SUMPRODUCT((BE$25:BE$124=0)*($B$25:$B$124&gt;=$B98)*($B$25:$B$124&lt;=$B98+ANALYSIS!$G$5)*($C$25:$C$124&gt;=$C98)*($C$25:$C$124&lt;=$C98+ANALYSIS!$G$6)))</f>
        <v>1</v>
      </c>
      <c r="Z98" cm="1">
        <f t="array" ref="Z98">IF(BF98&gt;0,0,SUMPRODUCT((BF$25:BF$124=0)*($B$25:$B$124&gt;=$B98)*($B$25:$B$124&lt;=$B98+ANALYSIS!$G$5)*($C$25:$C$124&gt;=$C98)*($C$25:$C$124&lt;=$C98+ANALYSIS!$G$6)))</f>
        <v>1</v>
      </c>
      <c r="AA98" cm="1">
        <f t="array" ref="AA98">IF(BG98&gt;0,0,SUMPRODUCT((BG$25:BG$124=0)*($B$25:$B$124&gt;=$B98)*($B$25:$B$124&lt;=$B98+ANALYSIS!$G$5)*($C$25:$C$124&gt;=$C98)*($C$25:$C$124&lt;=$C98+ANALYSIS!$G$6)))</f>
        <v>1</v>
      </c>
      <c r="AB98" cm="1">
        <f t="array" ref="AB98">IF(BH98&gt;0,0,SUMPRODUCT((BH$25:BH$124=0)*($B$25:$B$124&gt;=$B98)*($B$25:$B$124&lt;=$B98+ANALYSIS!$G$5)*($C$25:$C$124&gt;=$C98)*($C$25:$C$124&lt;=$C98+ANALYSIS!$G$6)))</f>
        <v>1</v>
      </c>
      <c r="AC98" cm="1">
        <f t="array" ref="AC98">IF(BI98&gt;0,0,SUMPRODUCT((BI$25:BI$124=0)*($B$25:$B$124&gt;=$B98)*($B$25:$B$124&lt;=$B98+ANALYSIS!$G$5)*($C$25:$C$124&gt;=$C98)*($C$25:$C$124&lt;=$C98+ANALYSIS!$G$6)))</f>
        <v>1</v>
      </c>
      <c r="AD98" cm="1">
        <f t="array" ref="AD98">IF(BJ98&gt;0,0,SUMPRODUCT((BJ$25:BJ$124=0)*($B$25:$B$124&gt;=$B98)*($B$25:$B$124&lt;=$B98+ANALYSIS!$G$5)*($C$25:$C$124&gt;=$C98)*($C$25:$C$124&lt;=$C98+ANALYSIS!$G$6)))</f>
        <v>0</v>
      </c>
      <c r="AE98" cm="1">
        <f t="array" ref="AE98">IF(BK98&gt;0,0,SUMPRODUCT((BK$25:BK$124=0)*($B$25:$B$124&gt;=$B98)*($B$25:$B$124&lt;=$B98+ANALYSIS!$G$5)*($C$25:$C$124&gt;=$C98)*($C$25:$C$124&lt;=$C98+ANALYSIS!$G$6)))</f>
        <v>0</v>
      </c>
      <c r="AF98" cm="1">
        <f t="array" ref="AF98">IF(BL98&gt;0,0,SUMPRODUCT((BL$25:BL$124=0)*($B$25:$B$124&gt;=$B98)*($B$25:$B$124&lt;=$B98+ANALYSIS!$G$5)*($C$25:$C$124&gt;=$C98)*($C$25:$C$124&lt;=$C98+ANALYSIS!$G$6)))</f>
        <v>0</v>
      </c>
      <c r="AH98">
        <f>IF(AND(AX98=0,$B98&gt;=R$22,$B98&lt;=R$22+ANALYSIS!$G$5,$C98&gt;=R$23,$C98&lt;=R$23+ANALYSIS!$G$6),1,0)</f>
        <v>0</v>
      </c>
      <c r="AI98">
        <f>IF(AND(AY98=0,$B98&gt;=S$22,$B98&lt;=S$22+ANALYSIS!$G$5,$C98&gt;=S$23,$C98&lt;=S$23+ANALYSIS!$G$6),1,0)</f>
        <v>0</v>
      </c>
      <c r="AJ98">
        <f>IF(AND(AZ98=0,$B98&gt;=T$22,$B98&lt;=T$22+ANALYSIS!$G$5,$C98&gt;=T$23,$C98&lt;=T$23+ANALYSIS!$G$6),1,0)</f>
        <v>0</v>
      </c>
      <c r="AK98">
        <f>IF(AND(BA98=0,$B98&gt;=U$22,$B98&lt;=U$22+ANALYSIS!$G$5,$C98&gt;=U$23,$C98&lt;=U$23+ANALYSIS!$G$6),1,0)</f>
        <v>0</v>
      </c>
      <c r="AL98">
        <f>IF(AND(BB98=0,$B98&gt;=V$22,$B98&lt;=V$22+ANALYSIS!$G$5,$C98&gt;=V$23,$C98&lt;=V$23+ANALYSIS!$G$6),1,0)</f>
        <v>0</v>
      </c>
      <c r="AM98">
        <f>IF(AND(BC98=0,$B98&gt;=W$22,$B98&lt;=W$22+ANALYSIS!$G$5,$C98&gt;=W$23,$C98&lt;=W$23+ANALYSIS!$G$6),1,0)</f>
        <v>0</v>
      </c>
      <c r="AN98">
        <f>IF(AND(BD98=0,$B98&gt;=X$22,$B98&lt;=X$22+ANALYSIS!$G$5,$C98&gt;=X$23,$C98&lt;=X$23+ANALYSIS!$G$6),1,0)</f>
        <v>0</v>
      </c>
      <c r="AO98">
        <f>IF(AND(BE98=0,$B98&gt;=Y$22,$B98&lt;=Y$22+ANALYSIS!$G$5,$C98&gt;=Y$23,$C98&lt;=Y$23+ANALYSIS!$G$6),1,0)</f>
        <v>0</v>
      </c>
      <c r="AP98">
        <f>IF(AND(BF98=0,$B98&gt;=Z$22,$B98&lt;=Z$22+ANALYSIS!$G$5,$C98&gt;=Z$23,$C98&lt;=Z$23+ANALYSIS!$G$6),1,0)</f>
        <v>0</v>
      </c>
      <c r="AQ98">
        <f>IF(AND(BG98=0,$B98&gt;=AA$22,$B98&lt;=AA$22+ANALYSIS!$G$5,$C98&gt;=AA$23,$C98&lt;=AA$23+ANALYSIS!$G$6),1,0)</f>
        <v>0</v>
      </c>
      <c r="AR98">
        <f>IF(AND(BH98=0,$B98&gt;=AB$22,$B98&lt;=AB$22+ANALYSIS!$G$5,$C98&gt;=AB$23,$C98&lt;=AB$23+ANALYSIS!$G$6),1,0)</f>
        <v>0</v>
      </c>
      <c r="AS98">
        <f>IF(AND(BI98=0,$B98&gt;=AC$22,$B98&lt;=AC$22+ANALYSIS!$G$5,$C98&gt;=AC$23,$C98&lt;=AC$23+ANALYSIS!$G$6),1,0)</f>
        <v>1</v>
      </c>
      <c r="AT98">
        <f>IF(AND(BJ98=0,$B98&gt;=AD$22,$B98&lt;=AD$22+ANALYSIS!$G$5,$C98&gt;=AD$23,$C98&lt;=AD$23+ANALYSIS!$G$6),1,0)</f>
        <v>0</v>
      </c>
      <c r="AU98">
        <f>IF(AND(BK98=0,$B98&gt;=AE$22,$B98&lt;=AE$22+ANALYSIS!$G$5,$C98&gt;=AE$23,$C98&lt;=AE$23+ANALYSIS!$G$6),1,0)</f>
        <v>0</v>
      </c>
      <c r="AV98">
        <f>IF(AND(BL98=0,$B98&gt;=AF$22,$B98&lt;=AF$22+ANALYSIS!$G$5,$C98&gt;=AF$23,$C98&lt;=AF$23+ANALYSIS!$G$6),1,0)</f>
        <v>0</v>
      </c>
      <c r="AX98">
        <v>0</v>
      </c>
      <c r="AY98">
        <f t="shared" si="29"/>
        <v>0</v>
      </c>
      <c r="AZ98">
        <f t="shared" si="14"/>
        <v>0</v>
      </c>
      <c r="BA98">
        <f t="shared" si="15"/>
        <v>0</v>
      </c>
      <c r="BB98">
        <f t="shared" si="16"/>
        <v>0</v>
      </c>
      <c r="BC98">
        <f t="shared" si="17"/>
        <v>0</v>
      </c>
      <c r="BD98">
        <f t="shared" si="18"/>
        <v>0</v>
      </c>
      <c r="BE98">
        <f t="shared" si="19"/>
        <v>0</v>
      </c>
      <c r="BF98">
        <f t="shared" si="20"/>
        <v>0</v>
      </c>
      <c r="BG98">
        <f t="shared" si="21"/>
        <v>0</v>
      </c>
      <c r="BH98">
        <f t="shared" si="22"/>
        <v>0</v>
      </c>
      <c r="BI98">
        <f t="shared" si="23"/>
        <v>0</v>
      </c>
      <c r="BJ98">
        <f t="shared" si="24"/>
        <v>1</v>
      </c>
      <c r="BK98">
        <f t="shared" si="25"/>
        <v>1</v>
      </c>
      <c r="BL98">
        <f t="shared" si="26"/>
        <v>1</v>
      </c>
      <c r="BM98">
        <f t="shared" si="27"/>
        <v>1</v>
      </c>
    </row>
    <row r="99" spans="1:65" x14ac:dyDescent="0.25">
      <c r="A99" s="41" t="str">
        <f>ANALYSIS!B105</f>
        <v>20-25</v>
      </c>
      <c r="B99" s="41">
        <f>ANALYSIS!E105</f>
        <v>56</v>
      </c>
      <c r="C99" s="41">
        <f>ANALYSIS!G105</f>
        <v>24.35</v>
      </c>
      <c r="D99" s="41">
        <f t="shared" si="28"/>
        <v>1</v>
      </c>
      <c r="R99" cm="1">
        <f t="array" ref="R99">IF(AX99&gt;0,0,SUMPRODUCT((AX$25:AX$124=0)*($B$25:$B$124&gt;=$B99)*($B$25:$B$124&lt;=$B99+ANALYSIS!$G$5)*($C$25:$C$124&gt;=$C99)*($C$25:$C$124&lt;=$C99+ANALYSIS!$G$6)))</f>
        <v>7</v>
      </c>
      <c r="S99" cm="1">
        <f t="array" ref="S99">IF(AY99&gt;0,0,SUMPRODUCT((AY$25:AY$124=0)*($B$25:$B$124&gt;=$B99)*($B$25:$B$124&lt;=$B99+ANALYSIS!$G$5)*($C$25:$C$124&gt;=$C99)*($C$25:$C$124&lt;=$C99+ANALYSIS!$G$6)))</f>
        <v>0</v>
      </c>
      <c r="T99" cm="1">
        <f t="array" ref="T99">IF(AZ99&gt;0,0,SUMPRODUCT((AZ$25:AZ$124=0)*($B$25:$B$124&gt;=$B99)*($B$25:$B$124&lt;=$B99+ANALYSIS!$G$5)*($C$25:$C$124&gt;=$C99)*($C$25:$C$124&lt;=$C99+ANALYSIS!$G$6)))</f>
        <v>0</v>
      </c>
      <c r="U99" cm="1">
        <f t="array" ref="U99">IF(BA99&gt;0,0,SUMPRODUCT((BA$25:BA$124=0)*($B$25:$B$124&gt;=$B99)*($B$25:$B$124&lt;=$B99+ANALYSIS!$G$5)*($C$25:$C$124&gt;=$C99)*($C$25:$C$124&lt;=$C99+ANALYSIS!$G$6)))</f>
        <v>0</v>
      </c>
      <c r="V99" cm="1">
        <f t="array" ref="V99">IF(BB99&gt;0,0,SUMPRODUCT((BB$25:BB$124=0)*($B$25:$B$124&gt;=$B99)*($B$25:$B$124&lt;=$B99+ANALYSIS!$G$5)*($C$25:$C$124&gt;=$C99)*($C$25:$C$124&lt;=$C99+ANALYSIS!$G$6)))</f>
        <v>0</v>
      </c>
      <c r="W99" cm="1">
        <f t="array" ref="W99">IF(BC99&gt;0,0,SUMPRODUCT((BC$25:BC$124=0)*($B$25:$B$124&gt;=$B99)*($B$25:$B$124&lt;=$B99+ANALYSIS!$G$5)*($C$25:$C$124&gt;=$C99)*($C$25:$C$124&lt;=$C99+ANALYSIS!$G$6)))</f>
        <v>0</v>
      </c>
      <c r="X99" cm="1">
        <f t="array" ref="X99">IF(BD99&gt;0,0,SUMPRODUCT((BD$25:BD$124=0)*($B$25:$B$124&gt;=$B99)*($B$25:$B$124&lt;=$B99+ANALYSIS!$G$5)*($C$25:$C$124&gt;=$C99)*($C$25:$C$124&lt;=$C99+ANALYSIS!$G$6)))</f>
        <v>0</v>
      </c>
      <c r="Y99" cm="1">
        <f t="array" ref="Y99">IF(BE99&gt;0,0,SUMPRODUCT((BE$25:BE$124=0)*($B$25:$B$124&gt;=$B99)*($B$25:$B$124&lt;=$B99+ANALYSIS!$G$5)*($C$25:$C$124&gt;=$C99)*($C$25:$C$124&lt;=$C99+ANALYSIS!$G$6)))</f>
        <v>0</v>
      </c>
      <c r="Z99" cm="1">
        <f t="array" ref="Z99">IF(BF99&gt;0,0,SUMPRODUCT((BF$25:BF$124=0)*($B$25:$B$124&gt;=$B99)*($B$25:$B$124&lt;=$B99+ANALYSIS!$G$5)*($C$25:$C$124&gt;=$C99)*($C$25:$C$124&lt;=$C99+ANALYSIS!$G$6)))</f>
        <v>0</v>
      </c>
      <c r="AA99" cm="1">
        <f t="array" ref="AA99">IF(BG99&gt;0,0,SUMPRODUCT((BG$25:BG$124=0)*($B$25:$B$124&gt;=$B99)*($B$25:$B$124&lt;=$B99+ANALYSIS!$G$5)*($C$25:$C$124&gt;=$C99)*($C$25:$C$124&lt;=$C99+ANALYSIS!$G$6)))</f>
        <v>0</v>
      </c>
      <c r="AB99" cm="1">
        <f t="array" ref="AB99">IF(BH99&gt;0,0,SUMPRODUCT((BH$25:BH$124=0)*($B$25:$B$124&gt;=$B99)*($B$25:$B$124&lt;=$B99+ANALYSIS!$G$5)*($C$25:$C$124&gt;=$C99)*($C$25:$C$124&lt;=$C99+ANALYSIS!$G$6)))</f>
        <v>0</v>
      </c>
      <c r="AC99" cm="1">
        <f t="array" ref="AC99">IF(BI99&gt;0,0,SUMPRODUCT((BI$25:BI$124=0)*($B$25:$B$124&gt;=$B99)*($B$25:$B$124&lt;=$B99+ANALYSIS!$G$5)*($C$25:$C$124&gt;=$C99)*($C$25:$C$124&lt;=$C99+ANALYSIS!$G$6)))</f>
        <v>0</v>
      </c>
      <c r="AD99" cm="1">
        <f t="array" ref="AD99">IF(BJ99&gt;0,0,SUMPRODUCT((BJ$25:BJ$124=0)*($B$25:$B$124&gt;=$B99)*($B$25:$B$124&lt;=$B99+ANALYSIS!$G$5)*($C$25:$C$124&gt;=$C99)*($C$25:$C$124&lt;=$C99+ANALYSIS!$G$6)))</f>
        <v>0</v>
      </c>
      <c r="AE99" cm="1">
        <f t="array" ref="AE99">IF(BK99&gt;0,0,SUMPRODUCT((BK$25:BK$124=0)*($B$25:$B$124&gt;=$B99)*($B$25:$B$124&lt;=$B99+ANALYSIS!$G$5)*($C$25:$C$124&gt;=$C99)*($C$25:$C$124&lt;=$C99+ANALYSIS!$G$6)))</f>
        <v>0</v>
      </c>
      <c r="AF99" cm="1">
        <f t="array" ref="AF99">IF(BL99&gt;0,0,SUMPRODUCT((BL$25:BL$124=0)*($B$25:$B$124&gt;=$B99)*($B$25:$B$124&lt;=$B99+ANALYSIS!$G$5)*($C$25:$C$124&gt;=$C99)*($C$25:$C$124&lt;=$C99+ANALYSIS!$G$6)))</f>
        <v>0</v>
      </c>
      <c r="AH99">
        <f>IF(AND(AX99=0,$B99&gt;=R$22,$B99&lt;=R$22+ANALYSIS!$G$5,$C99&gt;=R$23,$C99&lt;=R$23+ANALYSIS!$G$6),1,0)</f>
        <v>1</v>
      </c>
      <c r="AI99">
        <f>IF(AND(AY99=0,$B99&gt;=S$22,$B99&lt;=S$22+ANALYSIS!$G$5,$C99&gt;=S$23,$C99&lt;=S$23+ANALYSIS!$G$6),1,0)</f>
        <v>0</v>
      </c>
      <c r="AJ99">
        <f>IF(AND(AZ99=0,$B99&gt;=T$22,$B99&lt;=T$22+ANALYSIS!$G$5,$C99&gt;=T$23,$C99&lt;=T$23+ANALYSIS!$G$6),1,0)</f>
        <v>0</v>
      </c>
      <c r="AK99">
        <f>IF(AND(BA99=0,$B99&gt;=U$22,$B99&lt;=U$22+ANALYSIS!$G$5,$C99&gt;=U$23,$C99&lt;=U$23+ANALYSIS!$G$6),1,0)</f>
        <v>0</v>
      </c>
      <c r="AL99">
        <f>IF(AND(BB99=0,$B99&gt;=V$22,$B99&lt;=V$22+ANALYSIS!$G$5,$C99&gt;=V$23,$C99&lt;=V$23+ANALYSIS!$G$6),1,0)</f>
        <v>0</v>
      </c>
      <c r="AM99">
        <f>IF(AND(BC99=0,$B99&gt;=W$22,$B99&lt;=W$22+ANALYSIS!$G$5,$C99&gt;=W$23,$C99&lt;=W$23+ANALYSIS!$G$6),1,0)</f>
        <v>0</v>
      </c>
      <c r="AN99">
        <f>IF(AND(BD99=0,$B99&gt;=X$22,$B99&lt;=X$22+ANALYSIS!$G$5,$C99&gt;=X$23,$C99&lt;=X$23+ANALYSIS!$G$6),1,0)</f>
        <v>0</v>
      </c>
      <c r="AO99">
        <f>IF(AND(BE99=0,$B99&gt;=Y$22,$B99&lt;=Y$22+ANALYSIS!$G$5,$C99&gt;=Y$23,$C99&lt;=Y$23+ANALYSIS!$G$6),1,0)</f>
        <v>0</v>
      </c>
      <c r="AP99">
        <f>IF(AND(BF99=0,$B99&gt;=Z$22,$B99&lt;=Z$22+ANALYSIS!$G$5,$C99&gt;=Z$23,$C99&lt;=Z$23+ANALYSIS!$G$6),1,0)</f>
        <v>0</v>
      </c>
      <c r="AQ99">
        <f>IF(AND(BG99=0,$B99&gt;=AA$22,$B99&lt;=AA$22+ANALYSIS!$G$5,$C99&gt;=AA$23,$C99&lt;=AA$23+ANALYSIS!$G$6),1,0)</f>
        <v>0</v>
      </c>
      <c r="AR99">
        <f>IF(AND(BH99=0,$B99&gt;=AB$22,$B99&lt;=AB$22+ANALYSIS!$G$5,$C99&gt;=AB$23,$C99&lt;=AB$23+ANALYSIS!$G$6),1,0)</f>
        <v>0</v>
      </c>
      <c r="AS99">
        <f>IF(AND(BI99=0,$B99&gt;=AC$22,$B99&lt;=AC$22+ANALYSIS!$G$5,$C99&gt;=AC$23,$C99&lt;=AC$23+ANALYSIS!$G$6),1,0)</f>
        <v>0</v>
      </c>
      <c r="AT99">
        <f>IF(AND(BJ99=0,$B99&gt;=AD$22,$B99&lt;=AD$22+ANALYSIS!$G$5,$C99&gt;=AD$23,$C99&lt;=AD$23+ANALYSIS!$G$6),1,0)</f>
        <v>0</v>
      </c>
      <c r="AU99">
        <f>IF(AND(BK99=0,$B99&gt;=AE$22,$B99&lt;=AE$22+ANALYSIS!$G$5,$C99&gt;=AE$23,$C99&lt;=AE$23+ANALYSIS!$G$6),1,0)</f>
        <v>0</v>
      </c>
      <c r="AV99">
        <f>IF(AND(BL99=0,$B99&gt;=AF$22,$B99&lt;=AF$22+ANALYSIS!$G$5,$C99&gt;=AF$23,$C99&lt;=AF$23+ANALYSIS!$G$6),1,0)</f>
        <v>0</v>
      </c>
      <c r="AX99">
        <v>0</v>
      </c>
      <c r="AY99">
        <f t="shared" si="29"/>
        <v>1</v>
      </c>
      <c r="AZ99">
        <f t="shared" si="14"/>
        <v>1</v>
      </c>
      <c r="BA99">
        <f t="shared" si="15"/>
        <v>1</v>
      </c>
      <c r="BB99">
        <f t="shared" si="16"/>
        <v>1</v>
      </c>
      <c r="BC99">
        <f t="shared" si="17"/>
        <v>1</v>
      </c>
      <c r="BD99">
        <f t="shared" si="18"/>
        <v>1</v>
      </c>
      <c r="BE99">
        <f t="shared" si="19"/>
        <v>1</v>
      </c>
      <c r="BF99">
        <f t="shared" si="20"/>
        <v>1</v>
      </c>
      <c r="BG99">
        <f t="shared" si="21"/>
        <v>1</v>
      </c>
      <c r="BH99">
        <f t="shared" si="22"/>
        <v>1</v>
      </c>
      <c r="BI99">
        <f t="shared" si="23"/>
        <v>1</v>
      </c>
      <c r="BJ99">
        <f t="shared" si="24"/>
        <v>1</v>
      </c>
      <c r="BK99">
        <f t="shared" si="25"/>
        <v>1</v>
      </c>
      <c r="BL99">
        <f t="shared" si="26"/>
        <v>1</v>
      </c>
      <c r="BM99">
        <f t="shared" si="27"/>
        <v>1</v>
      </c>
    </row>
    <row r="100" spans="1:65" x14ac:dyDescent="0.25">
      <c r="A100" s="41" t="str">
        <f>ANALYSIS!B106</f>
        <v>20-26</v>
      </c>
      <c r="B100" s="41">
        <f>ANALYSIS!E106</f>
        <v>55</v>
      </c>
      <c r="C100" s="41">
        <f>ANALYSIS!G106</f>
        <v>23.1</v>
      </c>
      <c r="D100" s="41">
        <f t="shared" si="28"/>
        <v>2</v>
      </c>
      <c r="R100" cm="1">
        <f t="array" ref="R100">IF(AX100&gt;0,0,SUMPRODUCT((AX$25:AX$124=0)*($B$25:$B$124&gt;=$B100)*($B$25:$B$124&lt;=$B100+ANALYSIS!$G$5)*($C$25:$C$124&gt;=$C100)*($C$25:$C$124&lt;=$C100+ANALYSIS!$G$6)))</f>
        <v>9</v>
      </c>
      <c r="S100" cm="1">
        <f t="array" ref="S100">IF(AY100&gt;0,0,SUMPRODUCT((AY$25:AY$124=0)*($B$25:$B$124&gt;=$B100)*($B$25:$B$124&lt;=$B100+ANALYSIS!$G$5)*($C$25:$C$124&gt;=$C100)*($C$25:$C$124&lt;=$C100+ANALYSIS!$G$6)))</f>
        <v>9</v>
      </c>
      <c r="T100" cm="1">
        <f t="array" ref="T100">IF(AZ100&gt;0,0,SUMPRODUCT((AZ$25:AZ$124=0)*($B$25:$B$124&gt;=$B100)*($B$25:$B$124&lt;=$B100+ANALYSIS!$G$5)*($C$25:$C$124&gt;=$C100)*($C$25:$C$124&lt;=$C100+ANALYSIS!$G$6)))</f>
        <v>0</v>
      </c>
      <c r="U100" cm="1">
        <f t="array" ref="U100">IF(BA100&gt;0,0,SUMPRODUCT((BA$25:BA$124=0)*($B$25:$B$124&gt;=$B100)*($B$25:$B$124&lt;=$B100+ANALYSIS!$G$5)*($C$25:$C$124&gt;=$C100)*($C$25:$C$124&lt;=$C100+ANALYSIS!$G$6)))</f>
        <v>0</v>
      </c>
      <c r="V100" cm="1">
        <f t="array" ref="V100">IF(BB100&gt;0,0,SUMPRODUCT((BB$25:BB$124=0)*($B$25:$B$124&gt;=$B100)*($B$25:$B$124&lt;=$B100+ANALYSIS!$G$5)*($C$25:$C$124&gt;=$C100)*($C$25:$C$124&lt;=$C100+ANALYSIS!$G$6)))</f>
        <v>0</v>
      </c>
      <c r="W100" cm="1">
        <f t="array" ref="W100">IF(BC100&gt;0,0,SUMPRODUCT((BC$25:BC$124=0)*($B$25:$B$124&gt;=$B100)*($B$25:$B$124&lt;=$B100+ANALYSIS!$G$5)*($C$25:$C$124&gt;=$C100)*($C$25:$C$124&lt;=$C100+ANALYSIS!$G$6)))</f>
        <v>0</v>
      </c>
      <c r="X100" cm="1">
        <f t="array" ref="X100">IF(BD100&gt;0,0,SUMPRODUCT((BD$25:BD$124=0)*($B$25:$B$124&gt;=$B100)*($B$25:$B$124&lt;=$B100+ANALYSIS!$G$5)*($C$25:$C$124&gt;=$C100)*($C$25:$C$124&lt;=$C100+ANALYSIS!$G$6)))</f>
        <v>0</v>
      </c>
      <c r="Y100" cm="1">
        <f t="array" ref="Y100">IF(BE100&gt;0,0,SUMPRODUCT((BE$25:BE$124=0)*($B$25:$B$124&gt;=$B100)*($B$25:$B$124&lt;=$B100+ANALYSIS!$G$5)*($C$25:$C$124&gt;=$C100)*($C$25:$C$124&lt;=$C100+ANALYSIS!$G$6)))</f>
        <v>0</v>
      </c>
      <c r="Z100" cm="1">
        <f t="array" ref="Z100">IF(BF100&gt;0,0,SUMPRODUCT((BF$25:BF$124=0)*($B$25:$B$124&gt;=$B100)*($B$25:$B$124&lt;=$B100+ANALYSIS!$G$5)*($C$25:$C$124&gt;=$C100)*($C$25:$C$124&lt;=$C100+ANALYSIS!$G$6)))</f>
        <v>0</v>
      </c>
      <c r="AA100" cm="1">
        <f t="array" ref="AA100">IF(BG100&gt;0,0,SUMPRODUCT((BG$25:BG$124=0)*($B$25:$B$124&gt;=$B100)*($B$25:$B$124&lt;=$B100+ANALYSIS!$G$5)*($C$25:$C$124&gt;=$C100)*($C$25:$C$124&lt;=$C100+ANALYSIS!$G$6)))</f>
        <v>0</v>
      </c>
      <c r="AB100" cm="1">
        <f t="array" ref="AB100">IF(BH100&gt;0,0,SUMPRODUCT((BH$25:BH$124=0)*($B$25:$B$124&gt;=$B100)*($B$25:$B$124&lt;=$B100+ANALYSIS!$G$5)*($C$25:$C$124&gt;=$C100)*($C$25:$C$124&lt;=$C100+ANALYSIS!$G$6)))</f>
        <v>0</v>
      </c>
      <c r="AC100" cm="1">
        <f t="array" ref="AC100">IF(BI100&gt;0,0,SUMPRODUCT((BI$25:BI$124=0)*($B$25:$B$124&gt;=$B100)*($B$25:$B$124&lt;=$B100+ANALYSIS!$G$5)*($C$25:$C$124&gt;=$C100)*($C$25:$C$124&lt;=$C100+ANALYSIS!$G$6)))</f>
        <v>0</v>
      </c>
      <c r="AD100" cm="1">
        <f t="array" ref="AD100">IF(BJ100&gt;0,0,SUMPRODUCT((BJ$25:BJ$124=0)*($B$25:$B$124&gt;=$B100)*($B$25:$B$124&lt;=$B100+ANALYSIS!$G$5)*($C$25:$C$124&gt;=$C100)*($C$25:$C$124&lt;=$C100+ANALYSIS!$G$6)))</f>
        <v>0</v>
      </c>
      <c r="AE100" cm="1">
        <f t="array" ref="AE100">IF(BK100&gt;0,0,SUMPRODUCT((BK$25:BK$124=0)*($B$25:$B$124&gt;=$B100)*($B$25:$B$124&lt;=$B100+ANALYSIS!$G$5)*($C$25:$C$124&gt;=$C100)*($C$25:$C$124&lt;=$C100+ANALYSIS!$G$6)))</f>
        <v>0</v>
      </c>
      <c r="AF100" cm="1">
        <f t="array" ref="AF100">IF(BL100&gt;0,0,SUMPRODUCT((BL$25:BL$124=0)*($B$25:$B$124&gt;=$B100)*($B$25:$B$124&lt;=$B100+ANALYSIS!$G$5)*($C$25:$C$124&gt;=$C100)*($C$25:$C$124&lt;=$C100+ANALYSIS!$G$6)))</f>
        <v>0</v>
      </c>
      <c r="AH100">
        <f>IF(AND(AX100=0,$B100&gt;=R$22,$B100&lt;=R$22+ANALYSIS!$G$5,$C100&gt;=R$23,$C100&lt;=R$23+ANALYSIS!$G$6),1,0)</f>
        <v>0</v>
      </c>
      <c r="AI100">
        <f>IF(AND(AY100=0,$B100&gt;=S$22,$B100&lt;=S$22+ANALYSIS!$G$5,$C100&gt;=S$23,$C100&lt;=S$23+ANALYSIS!$G$6),1,0)</f>
        <v>1</v>
      </c>
      <c r="AJ100">
        <f>IF(AND(AZ100=0,$B100&gt;=T$22,$B100&lt;=T$22+ANALYSIS!$G$5,$C100&gt;=T$23,$C100&lt;=T$23+ANALYSIS!$G$6),1,0)</f>
        <v>0</v>
      </c>
      <c r="AK100">
        <f>IF(AND(BA100=0,$B100&gt;=U$22,$B100&lt;=U$22+ANALYSIS!$G$5,$C100&gt;=U$23,$C100&lt;=U$23+ANALYSIS!$G$6),1,0)</f>
        <v>0</v>
      </c>
      <c r="AL100">
        <f>IF(AND(BB100=0,$B100&gt;=V$22,$B100&lt;=V$22+ANALYSIS!$G$5,$C100&gt;=V$23,$C100&lt;=V$23+ANALYSIS!$G$6),1,0)</f>
        <v>0</v>
      </c>
      <c r="AM100">
        <f>IF(AND(BC100=0,$B100&gt;=W$22,$B100&lt;=W$22+ANALYSIS!$G$5,$C100&gt;=W$23,$C100&lt;=W$23+ANALYSIS!$G$6),1,0)</f>
        <v>0</v>
      </c>
      <c r="AN100">
        <f>IF(AND(BD100=0,$B100&gt;=X$22,$B100&lt;=X$22+ANALYSIS!$G$5,$C100&gt;=X$23,$C100&lt;=X$23+ANALYSIS!$G$6),1,0)</f>
        <v>0</v>
      </c>
      <c r="AO100">
        <f>IF(AND(BE100=0,$B100&gt;=Y$22,$B100&lt;=Y$22+ANALYSIS!$G$5,$C100&gt;=Y$23,$C100&lt;=Y$23+ANALYSIS!$G$6),1,0)</f>
        <v>0</v>
      </c>
      <c r="AP100">
        <f>IF(AND(BF100=0,$B100&gt;=Z$22,$B100&lt;=Z$22+ANALYSIS!$G$5,$C100&gt;=Z$23,$C100&lt;=Z$23+ANALYSIS!$G$6),1,0)</f>
        <v>0</v>
      </c>
      <c r="AQ100">
        <f>IF(AND(BG100=0,$B100&gt;=AA$22,$B100&lt;=AA$22+ANALYSIS!$G$5,$C100&gt;=AA$23,$C100&lt;=AA$23+ANALYSIS!$G$6),1,0)</f>
        <v>0</v>
      </c>
      <c r="AR100">
        <f>IF(AND(BH100=0,$B100&gt;=AB$22,$B100&lt;=AB$22+ANALYSIS!$G$5,$C100&gt;=AB$23,$C100&lt;=AB$23+ANALYSIS!$G$6),1,0)</f>
        <v>0</v>
      </c>
      <c r="AS100">
        <f>IF(AND(BI100=0,$B100&gt;=AC$22,$B100&lt;=AC$22+ANALYSIS!$G$5,$C100&gt;=AC$23,$C100&lt;=AC$23+ANALYSIS!$G$6),1,0)</f>
        <v>0</v>
      </c>
      <c r="AT100">
        <f>IF(AND(BJ100=0,$B100&gt;=AD$22,$B100&lt;=AD$22+ANALYSIS!$G$5,$C100&gt;=AD$23,$C100&lt;=AD$23+ANALYSIS!$G$6),1,0)</f>
        <v>0</v>
      </c>
      <c r="AU100">
        <f>IF(AND(BK100=0,$B100&gt;=AE$22,$B100&lt;=AE$22+ANALYSIS!$G$5,$C100&gt;=AE$23,$C100&lt;=AE$23+ANALYSIS!$G$6),1,0)</f>
        <v>0</v>
      </c>
      <c r="AV100">
        <f>IF(AND(BL100=0,$B100&gt;=AF$22,$B100&lt;=AF$22+ANALYSIS!$G$5,$C100&gt;=AF$23,$C100&lt;=AF$23+ANALYSIS!$G$6),1,0)</f>
        <v>0</v>
      </c>
      <c r="AX100">
        <v>0</v>
      </c>
      <c r="AY100">
        <f t="shared" si="29"/>
        <v>0</v>
      </c>
      <c r="AZ100">
        <f t="shared" si="14"/>
        <v>1</v>
      </c>
      <c r="BA100">
        <f t="shared" si="15"/>
        <v>1</v>
      </c>
      <c r="BB100">
        <f t="shared" si="16"/>
        <v>1</v>
      </c>
      <c r="BC100">
        <f t="shared" si="17"/>
        <v>1</v>
      </c>
      <c r="BD100">
        <f t="shared" si="18"/>
        <v>1</v>
      </c>
      <c r="BE100">
        <f t="shared" si="19"/>
        <v>1</v>
      </c>
      <c r="BF100">
        <f t="shared" si="20"/>
        <v>1</v>
      </c>
      <c r="BG100">
        <f t="shared" si="21"/>
        <v>1</v>
      </c>
      <c r="BH100">
        <f t="shared" si="22"/>
        <v>1</v>
      </c>
      <c r="BI100">
        <f t="shared" si="23"/>
        <v>1</v>
      </c>
      <c r="BJ100">
        <f t="shared" si="24"/>
        <v>1</v>
      </c>
      <c r="BK100">
        <f t="shared" si="25"/>
        <v>1</v>
      </c>
      <c r="BL100">
        <f t="shared" si="26"/>
        <v>1</v>
      </c>
      <c r="BM100">
        <f t="shared" si="27"/>
        <v>1</v>
      </c>
    </row>
    <row r="101" spans="1:65" x14ac:dyDescent="0.25">
      <c r="A101" s="41" t="str">
        <f>ANALYSIS!B107</f>
        <v>20-27</v>
      </c>
      <c r="B101" s="41">
        <f>ANALYSIS!E107</f>
        <v>55.5</v>
      </c>
      <c r="C101" s="41">
        <f>ANALYSIS!G107</f>
        <v>21.5</v>
      </c>
      <c r="D101" s="41">
        <f t="shared" si="28"/>
        <v>4</v>
      </c>
      <c r="R101" cm="1">
        <f t="array" ref="R101">IF(AX101&gt;0,0,SUMPRODUCT((AX$25:AX$124=0)*($B$25:$B$124&gt;=$B101)*($B$25:$B$124&lt;=$B101+ANALYSIS!$G$5)*($C$25:$C$124&gt;=$C101)*($C$25:$C$124&lt;=$C101+ANALYSIS!$G$6)))</f>
        <v>5</v>
      </c>
      <c r="S101" cm="1">
        <f t="array" ref="S101">IF(AY101&gt;0,0,SUMPRODUCT((AY$25:AY$124=0)*($B$25:$B$124&gt;=$B101)*($B$25:$B$124&lt;=$B101+ANALYSIS!$G$5)*($C$25:$C$124&gt;=$C101)*($C$25:$C$124&lt;=$C101+ANALYSIS!$G$6)))</f>
        <v>5</v>
      </c>
      <c r="T101" cm="1">
        <f t="array" ref="T101">IF(AZ101&gt;0,0,SUMPRODUCT((AZ$25:AZ$124=0)*($B$25:$B$124&gt;=$B101)*($B$25:$B$124&lt;=$B101+ANALYSIS!$G$5)*($C$25:$C$124&gt;=$C101)*($C$25:$C$124&lt;=$C101+ANALYSIS!$G$6)))</f>
        <v>5</v>
      </c>
      <c r="U101" cm="1">
        <f t="array" ref="U101">IF(BA101&gt;0,0,SUMPRODUCT((BA$25:BA$124=0)*($B$25:$B$124&gt;=$B101)*($B$25:$B$124&lt;=$B101+ANALYSIS!$G$5)*($C$25:$C$124&gt;=$C101)*($C$25:$C$124&lt;=$C101+ANALYSIS!$G$6)))</f>
        <v>5</v>
      </c>
      <c r="V101" cm="1">
        <f t="array" ref="V101">IF(BB101&gt;0,0,SUMPRODUCT((BB$25:BB$124=0)*($B$25:$B$124&gt;=$B101)*($B$25:$B$124&lt;=$B101+ANALYSIS!$G$5)*($C$25:$C$124&gt;=$C101)*($C$25:$C$124&lt;=$C101+ANALYSIS!$G$6)))</f>
        <v>0</v>
      </c>
      <c r="W101" cm="1">
        <f t="array" ref="W101">IF(BC101&gt;0,0,SUMPRODUCT((BC$25:BC$124=0)*($B$25:$B$124&gt;=$B101)*($B$25:$B$124&lt;=$B101+ANALYSIS!$G$5)*($C$25:$C$124&gt;=$C101)*($C$25:$C$124&lt;=$C101+ANALYSIS!$G$6)))</f>
        <v>0</v>
      </c>
      <c r="X101" cm="1">
        <f t="array" ref="X101">IF(BD101&gt;0,0,SUMPRODUCT((BD$25:BD$124=0)*($B$25:$B$124&gt;=$B101)*($B$25:$B$124&lt;=$B101+ANALYSIS!$G$5)*($C$25:$C$124&gt;=$C101)*($C$25:$C$124&lt;=$C101+ANALYSIS!$G$6)))</f>
        <v>0</v>
      </c>
      <c r="Y101" cm="1">
        <f t="array" ref="Y101">IF(BE101&gt;0,0,SUMPRODUCT((BE$25:BE$124=0)*($B$25:$B$124&gt;=$B101)*($B$25:$B$124&lt;=$B101+ANALYSIS!$G$5)*($C$25:$C$124&gt;=$C101)*($C$25:$C$124&lt;=$C101+ANALYSIS!$G$6)))</f>
        <v>0</v>
      </c>
      <c r="Z101" cm="1">
        <f t="array" ref="Z101">IF(BF101&gt;0,0,SUMPRODUCT((BF$25:BF$124=0)*($B$25:$B$124&gt;=$B101)*($B$25:$B$124&lt;=$B101+ANALYSIS!$G$5)*($C$25:$C$124&gt;=$C101)*($C$25:$C$124&lt;=$C101+ANALYSIS!$G$6)))</f>
        <v>0</v>
      </c>
      <c r="AA101" cm="1">
        <f t="array" ref="AA101">IF(BG101&gt;0,0,SUMPRODUCT((BG$25:BG$124=0)*($B$25:$B$124&gt;=$B101)*($B$25:$B$124&lt;=$B101+ANALYSIS!$G$5)*($C$25:$C$124&gt;=$C101)*($C$25:$C$124&lt;=$C101+ANALYSIS!$G$6)))</f>
        <v>0</v>
      </c>
      <c r="AB101" cm="1">
        <f t="array" ref="AB101">IF(BH101&gt;0,0,SUMPRODUCT((BH$25:BH$124=0)*($B$25:$B$124&gt;=$B101)*($B$25:$B$124&lt;=$B101+ANALYSIS!$G$5)*($C$25:$C$124&gt;=$C101)*($C$25:$C$124&lt;=$C101+ANALYSIS!$G$6)))</f>
        <v>0</v>
      </c>
      <c r="AC101" cm="1">
        <f t="array" ref="AC101">IF(BI101&gt;0,0,SUMPRODUCT((BI$25:BI$124=0)*($B$25:$B$124&gt;=$B101)*($B$25:$B$124&lt;=$B101+ANALYSIS!$G$5)*($C$25:$C$124&gt;=$C101)*($C$25:$C$124&lt;=$C101+ANALYSIS!$G$6)))</f>
        <v>0</v>
      </c>
      <c r="AD101" cm="1">
        <f t="array" ref="AD101">IF(BJ101&gt;0,0,SUMPRODUCT((BJ$25:BJ$124=0)*($B$25:$B$124&gt;=$B101)*($B$25:$B$124&lt;=$B101+ANALYSIS!$G$5)*($C$25:$C$124&gt;=$C101)*($C$25:$C$124&lt;=$C101+ANALYSIS!$G$6)))</f>
        <v>0</v>
      </c>
      <c r="AE101" cm="1">
        <f t="array" ref="AE101">IF(BK101&gt;0,0,SUMPRODUCT((BK$25:BK$124=0)*($B$25:$B$124&gt;=$B101)*($B$25:$B$124&lt;=$B101+ANALYSIS!$G$5)*($C$25:$C$124&gt;=$C101)*($C$25:$C$124&lt;=$C101+ANALYSIS!$G$6)))</f>
        <v>0</v>
      </c>
      <c r="AF101" cm="1">
        <f t="array" ref="AF101">IF(BL101&gt;0,0,SUMPRODUCT((BL$25:BL$124=0)*($B$25:$B$124&gt;=$B101)*($B$25:$B$124&lt;=$B101+ANALYSIS!$G$5)*($C$25:$C$124&gt;=$C101)*($C$25:$C$124&lt;=$C101+ANALYSIS!$G$6)))</f>
        <v>0</v>
      </c>
      <c r="AH101">
        <f>IF(AND(AX101=0,$B101&gt;=R$22,$B101&lt;=R$22+ANALYSIS!$G$5,$C101&gt;=R$23,$C101&lt;=R$23+ANALYSIS!$G$6),1,0)</f>
        <v>0</v>
      </c>
      <c r="AI101">
        <f>IF(AND(AY101=0,$B101&gt;=S$22,$B101&lt;=S$22+ANALYSIS!$G$5,$C101&gt;=S$23,$C101&lt;=S$23+ANALYSIS!$G$6),1,0)</f>
        <v>0</v>
      </c>
      <c r="AJ101">
        <f>IF(AND(AZ101=0,$B101&gt;=T$22,$B101&lt;=T$22+ANALYSIS!$G$5,$C101&gt;=T$23,$C101&lt;=T$23+ANALYSIS!$G$6),1,0)</f>
        <v>0</v>
      </c>
      <c r="AK101">
        <f>IF(AND(BA101=0,$B101&gt;=U$22,$B101&lt;=U$22+ANALYSIS!$G$5,$C101&gt;=U$23,$C101&lt;=U$23+ANALYSIS!$G$6),1,0)</f>
        <v>1</v>
      </c>
      <c r="AL101">
        <f>IF(AND(BB101=0,$B101&gt;=V$22,$B101&lt;=V$22+ANALYSIS!$G$5,$C101&gt;=V$23,$C101&lt;=V$23+ANALYSIS!$G$6),1,0)</f>
        <v>0</v>
      </c>
      <c r="AM101">
        <f>IF(AND(BC101=0,$B101&gt;=W$22,$B101&lt;=W$22+ANALYSIS!$G$5,$C101&gt;=W$23,$C101&lt;=W$23+ANALYSIS!$G$6),1,0)</f>
        <v>0</v>
      </c>
      <c r="AN101">
        <f>IF(AND(BD101=0,$B101&gt;=X$22,$B101&lt;=X$22+ANALYSIS!$G$5,$C101&gt;=X$23,$C101&lt;=X$23+ANALYSIS!$G$6),1,0)</f>
        <v>0</v>
      </c>
      <c r="AO101">
        <f>IF(AND(BE101=0,$B101&gt;=Y$22,$B101&lt;=Y$22+ANALYSIS!$G$5,$C101&gt;=Y$23,$C101&lt;=Y$23+ANALYSIS!$G$6),1,0)</f>
        <v>0</v>
      </c>
      <c r="AP101">
        <f>IF(AND(BF101=0,$B101&gt;=Z$22,$B101&lt;=Z$22+ANALYSIS!$G$5,$C101&gt;=Z$23,$C101&lt;=Z$23+ANALYSIS!$G$6),1,0)</f>
        <v>0</v>
      </c>
      <c r="AQ101">
        <f>IF(AND(BG101=0,$B101&gt;=AA$22,$B101&lt;=AA$22+ANALYSIS!$G$5,$C101&gt;=AA$23,$C101&lt;=AA$23+ANALYSIS!$G$6),1,0)</f>
        <v>0</v>
      </c>
      <c r="AR101">
        <f>IF(AND(BH101=0,$B101&gt;=AB$22,$B101&lt;=AB$22+ANALYSIS!$G$5,$C101&gt;=AB$23,$C101&lt;=AB$23+ANALYSIS!$G$6),1,0)</f>
        <v>0</v>
      </c>
      <c r="AS101">
        <f>IF(AND(BI101=0,$B101&gt;=AC$22,$B101&lt;=AC$22+ANALYSIS!$G$5,$C101&gt;=AC$23,$C101&lt;=AC$23+ANALYSIS!$G$6),1,0)</f>
        <v>0</v>
      </c>
      <c r="AT101">
        <f>IF(AND(BJ101=0,$B101&gt;=AD$22,$B101&lt;=AD$22+ANALYSIS!$G$5,$C101&gt;=AD$23,$C101&lt;=AD$23+ANALYSIS!$G$6),1,0)</f>
        <v>0</v>
      </c>
      <c r="AU101">
        <f>IF(AND(BK101=0,$B101&gt;=AE$22,$B101&lt;=AE$22+ANALYSIS!$G$5,$C101&gt;=AE$23,$C101&lt;=AE$23+ANALYSIS!$G$6),1,0)</f>
        <v>0</v>
      </c>
      <c r="AV101">
        <f>IF(AND(BL101=0,$B101&gt;=AF$22,$B101&lt;=AF$22+ANALYSIS!$G$5,$C101&gt;=AF$23,$C101&lt;=AF$23+ANALYSIS!$G$6),1,0)</f>
        <v>0</v>
      </c>
      <c r="AX101">
        <v>0</v>
      </c>
      <c r="AY101">
        <f t="shared" si="29"/>
        <v>0</v>
      </c>
      <c r="AZ101">
        <f t="shared" si="14"/>
        <v>0</v>
      </c>
      <c r="BA101">
        <f t="shared" si="15"/>
        <v>0</v>
      </c>
      <c r="BB101">
        <f t="shared" si="16"/>
        <v>1</v>
      </c>
      <c r="BC101">
        <f t="shared" si="17"/>
        <v>1</v>
      </c>
      <c r="BD101">
        <f t="shared" si="18"/>
        <v>1</v>
      </c>
      <c r="BE101">
        <f t="shared" si="19"/>
        <v>1</v>
      </c>
      <c r="BF101">
        <f t="shared" si="20"/>
        <v>1</v>
      </c>
      <c r="BG101">
        <f t="shared" si="21"/>
        <v>1</v>
      </c>
      <c r="BH101">
        <f t="shared" si="22"/>
        <v>1</v>
      </c>
      <c r="BI101">
        <f t="shared" si="23"/>
        <v>1</v>
      </c>
      <c r="BJ101">
        <f t="shared" si="24"/>
        <v>1</v>
      </c>
      <c r="BK101">
        <f t="shared" si="25"/>
        <v>1</v>
      </c>
      <c r="BL101">
        <f t="shared" si="26"/>
        <v>1</v>
      </c>
      <c r="BM101">
        <f t="shared" si="27"/>
        <v>1</v>
      </c>
    </row>
    <row r="102" spans="1:65" x14ac:dyDescent="0.25">
      <c r="A102" s="41" t="str">
        <f>ANALYSIS!B108</f>
        <v>20-28</v>
      </c>
      <c r="B102" s="41">
        <f>ANALYSIS!E108</f>
        <v>55</v>
      </c>
      <c r="C102" s="41">
        <f>ANALYSIS!G108</f>
        <v>24.34</v>
      </c>
      <c r="D102" s="41">
        <f t="shared" si="28"/>
        <v>1</v>
      </c>
      <c r="R102" cm="1">
        <f t="array" ref="R102">IF(AX102&gt;0,0,SUMPRODUCT((AX$25:AX$124=0)*($B$25:$B$124&gt;=$B102)*($B$25:$B$124&lt;=$B102+ANALYSIS!$G$5)*($C$25:$C$124&gt;=$C102)*($C$25:$C$124&lt;=$C102+ANALYSIS!$G$6)))</f>
        <v>8</v>
      </c>
      <c r="S102" cm="1">
        <f t="array" ref="S102">IF(AY102&gt;0,0,SUMPRODUCT((AY$25:AY$124=0)*($B$25:$B$124&gt;=$B102)*($B$25:$B$124&lt;=$B102+ANALYSIS!$G$5)*($C$25:$C$124&gt;=$C102)*($C$25:$C$124&lt;=$C102+ANALYSIS!$G$6)))</f>
        <v>0</v>
      </c>
      <c r="T102" cm="1">
        <f t="array" ref="T102">IF(AZ102&gt;0,0,SUMPRODUCT((AZ$25:AZ$124=0)*($B$25:$B$124&gt;=$B102)*($B$25:$B$124&lt;=$B102+ANALYSIS!$G$5)*($C$25:$C$124&gt;=$C102)*($C$25:$C$124&lt;=$C102+ANALYSIS!$G$6)))</f>
        <v>0</v>
      </c>
      <c r="U102" cm="1">
        <f t="array" ref="U102">IF(BA102&gt;0,0,SUMPRODUCT((BA$25:BA$124=0)*($B$25:$B$124&gt;=$B102)*($B$25:$B$124&lt;=$B102+ANALYSIS!$G$5)*($C$25:$C$124&gt;=$C102)*($C$25:$C$124&lt;=$C102+ANALYSIS!$G$6)))</f>
        <v>0</v>
      </c>
      <c r="V102" cm="1">
        <f t="array" ref="V102">IF(BB102&gt;0,0,SUMPRODUCT((BB$25:BB$124=0)*($B$25:$B$124&gt;=$B102)*($B$25:$B$124&lt;=$B102+ANALYSIS!$G$5)*($C$25:$C$124&gt;=$C102)*($C$25:$C$124&lt;=$C102+ANALYSIS!$G$6)))</f>
        <v>0</v>
      </c>
      <c r="W102" cm="1">
        <f t="array" ref="W102">IF(BC102&gt;0,0,SUMPRODUCT((BC$25:BC$124=0)*($B$25:$B$124&gt;=$B102)*($B$25:$B$124&lt;=$B102+ANALYSIS!$G$5)*($C$25:$C$124&gt;=$C102)*($C$25:$C$124&lt;=$C102+ANALYSIS!$G$6)))</f>
        <v>0</v>
      </c>
      <c r="X102" cm="1">
        <f t="array" ref="X102">IF(BD102&gt;0,0,SUMPRODUCT((BD$25:BD$124=0)*($B$25:$B$124&gt;=$B102)*($B$25:$B$124&lt;=$B102+ANALYSIS!$G$5)*($C$25:$C$124&gt;=$C102)*($C$25:$C$124&lt;=$C102+ANALYSIS!$G$6)))</f>
        <v>0</v>
      </c>
      <c r="Y102" cm="1">
        <f t="array" ref="Y102">IF(BE102&gt;0,0,SUMPRODUCT((BE$25:BE$124=0)*($B$25:$B$124&gt;=$B102)*($B$25:$B$124&lt;=$B102+ANALYSIS!$G$5)*($C$25:$C$124&gt;=$C102)*($C$25:$C$124&lt;=$C102+ANALYSIS!$G$6)))</f>
        <v>0</v>
      </c>
      <c r="Z102" cm="1">
        <f t="array" ref="Z102">IF(BF102&gt;0,0,SUMPRODUCT((BF$25:BF$124=0)*($B$25:$B$124&gt;=$B102)*($B$25:$B$124&lt;=$B102+ANALYSIS!$G$5)*($C$25:$C$124&gt;=$C102)*($C$25:$C$124&lt;=$C102+ANALYSIS!$G$6)))</f>
        <v>0</v>
      </c>
      <c r="AA102" cm="1">
        <f t="array" ref="AA102">IF(BG102&gt;0,0,SUMPRODUCT((BG$25:BG$124=0)*($B$25:$B$124&gt;=$B102)*($B$25:$B$124&lt;=$B102+ANALYSIS!$G$5)*($C$25:$C$124&gt;=$C102)*($C$25:$C$124&lt;=$C102+ANALYSIS!$G$6)))</f>
        <v>0</v>
      </c>
      <c r="AB102" cm="1">
        <f t="array" ref="AB102">IF(BH102&gt;0,0,SUMPRODUCT((BH$25:BH$124=0)*($B$25:$B$124&gt;=$B102)*($B$25:$B$124&lt;=$B102+ANALYSIS!$G$5)*($C$25:$C$124&gt;=$C102)*($C$25:$C$124&lt;=$C102+ANALYSIS!$G$6)))</f>
        <v>0</v>
      </c>
      <c r="AC102" cm="1">
        <f t="array" ref="AC102">IF(BI102&gt;0,0,SUMPRODUCT((BI$25:BI$124=0)*($B$25:$B$124&gt;=$B102)*($B$25:$B$124&lt;=$B102+ANALYSIS!$G$5)*($C$25:$C$124&gt;=$C102)*($C$25:$C$124&lt;=$C102+ANALYSIS!$G$6)))</f>
        <v>0</v>
      </c>
      <c r="AD102" cm="1">
        <f t="array" ref="AD102">IF(BJ102&gt;0,0,SUMPRODUCT((BJ$25:BJ$124=0)*($B$25:$B$124&gt;=$B102)*($B$25:$B$124&lt;=$B102+ANALYSIS!$G$5)*($C$25:$C$124&gt;=$C102)*($C$25:$C$124&lt;=$C102+ANALYSIS!$G$6)))</f>
        <v>0</v>
      </c>
      <c r="AE102" cm="1">
        <f t="array" ref="AE102">IF(BK102&gt;0,0,SUMPRODUCT((BK$25:BK$124=0)*($B$25:$B$124&gt;=$B102)*($B$25:$B$124&lt;=$B102+ANALYSIS!$G$5)*($C$25:$C$124&gt;=$C102)*($C$25:$C$124&lt;=$C102+ANALYSIS!$G$6)))</f>
        <v>0</v>
      </c>
      <c r="AF102" cm="1">
        <f t="array" ref="AF102">IF(BL102&gt;0,0,SUMPRODUCT((BL$25:BL$124=0)*($B$25:$B$124&gt;=$B102)*($B$25:$B$124&lt;=$B102+ANALYSIS!$G$5)*($C$25:$C$124&gt;=$C102)*($C$25:$C$124&lt;=$C102+ANALYSIS!$G$6)))</f>
        <v>0</v>
      </c>
      <c r="AH102">
        <f>IF(AND(AX102=0,$B102&gt;=R$22,$B102&lt;=R$22+ANALYSIS!$G$5,$C102&gt;=R$23,$C102&lt;=R$23+ANALYSIS!$G$6),1,0)</f>
        <v>1</v>
      </c>
      <c r="AI102">
        <f>IF(AND(AY102=0,$B102&gt;=S$22,$B102&lt;=S$22+ANALYSIS!$G$5,$C102&gt;=S$23,$C102&lt;=S$23+ANALYSIS!$G$6),1,0)</f>
        <v>0</v>
      </c>
      <c r="AJ102">
        <f>IF(AND(AZ102=0,$B102&gt;=T$22,$B102&lt;=T$22+ANALYSIS!$G$5,$C102&gt;=T$23,$C102&lt;=T$23+ANALYSIS!$G$6),1,0)</f>
        <v>0</v>
      </c>
      <c r="AK102">
        <f>IF(AND(BA102=0,$B102&gt;=U$22,$B102&lt;=U$22+ANALYSIS!$G$5,$C102&gt;=U$23,$C102&lt;=U$23+ANALYSIS!$G$6),1,0)</f>
        <v>0</v>
      </c>
      <c r="AL102">
        <f>IF(AND(BB102=0,$B102&gt;=V$22,$B102&lt;=V$22+ANALYSIS!$G$5,$C102&gt;=V$23,$C102&lt;=V$23+ANALYSIS!$G$6),1,0)</f>
        <v>0</v>
      </c>
      <c r="AM102">
        <f>IF(AND(BC102=0,$B102&gt;=W$22,$B102&lt;=W$22+ANALYSIS!$G$5,$C102&gt;=W$23,$C102&lt;=W$23+ANALYSIS!$G$6),1,0)</f>
        <v>0</v>
      </c>
      <c r="AN102">
        <f>IF(AND(BD102=0,$B102&gt;=X$22,$B102&lt;=X$22+ANALYSIS!$G$5,$C102&gt;=X$23,$C102&lt;=X$23+ANALYSIS!$G$6),1,0)</f>
        <v>0</v>
      </c>
      <c r="AO102">
        <f>IF(AND(BE102=0,$B102&gt;=Y$22,$B102&lt;=Y$22+ANALYSIS!$G$5,$C102&gt;=Y$23,$C102&lt;=Y$23+ANALYSIS!$G$6),1,0)</f>
        <v>0</v>
      </c>
      <c r="AP102">
        <f>IF(AND(BF102=0,$B102&gt;=Z$22,$B102&lt;=Z$22+ANALYSIS!$G$5,$C102&gt;=Z$23,$C102&lt;=Z$23+ANALYSIS!$G$6),1,0)</f>
        <v>0</v>
      </c>
      <c r="AQ102">
        <f>IF(AND(BG102=0,$B102&gt;=AA$22,$B102&lt;=AA$22+ANALYSIS!$G$5,$C102&gt;=AA$23,$C102&lt;=AA$23+ANALYSIS!$G$6),1,0)</f>
        <v>0</v>
      </c>
      <c r="AR102">
        <f>IF(AND(BH102=0,$B102&gt;=AB$22,$B102&lt;=AB$22+ANALYSIS!$G$5,$C102&gt;=AB$23,$C102&lt;=AB$23+ANALYSIS!$G$6),1,0)</f>
        <v>0</v>
      </c>
      <c r="AS102">
        <f>IF(AND(BI102=0,$B102&gt;=AC$22,$B102&lt;=AC$22+ANALYSIS!$G$5,$C102&gt;=AC$23,$C102&lt;=AC$23+ANALYSIS!$G$6),1,0)</f>
        <v>0</v>
      </c>
      <c r="AT102">
        <f>IF(AND(BJ102=0,$B102&gt;=AD$22,$B102&lt;=AD$22+ANALYSIS!$G$5,$C102&gt;=AD$23,$C102&lt;=AD$23+ANALYSIS!$G$6),1,0)</f>
        <v>0</v>
      </c>
      <c r="AU102">
        <f>IF(AND(BK102=0,$B102&gt;=AE$22,$B102&lt;=AE$22+ANALYSIS!$G$5,$C102&gt;=AE$23,$C102&lt;=AE$23+ANALYSIS!$G$6),1,0)</f>
        <v>0</v>
      </c>
      <c r="AV102">
        <f>IF(AND(BL102=0,$B102&gt;=AF$22,$B102&lt;=AF$22+ANALYSIS!$G$5,$C102&gt;=AF$23,$C102&lt;=AF$23+ANALYSIS!$G$6),1,0)</f>
        <v>0</v>
      </c>
      <c r="AX102">
        <v>0</v>
      </c>
      <c r="AY102">
        <f t="shared" si="29"/>
        <v>1</v>
      </c>
      <c r="AZ102">
        <f t="shared" si="14"/>
        <v>1</v>
      </c>
      <c r="BA102">
        <f t="shared" si="15"/>
        <v>1</v>
      </c>
      <c r="BB102">
        <f t="shared" si="16"/>
        <v>1</v>
      </c>
      <c r="BC102">
        <f t="shared" si="17"/>
        <v>1</v>
      </c>
      <c r="BD102">
        <f t="shared" si="18"/>
        <v>1</v>
      </c>
      <c r="BE102">
        <f t="shared" si="19"/>
        <v>1</v>
      </c>
      <c r="BF102">
        <f t="shared" si="20"/>
        <v>1</v>
      </c>
      <c r="BG102">
        <f t="shared" si="21"/>
        <v>1</v>
      </c>
      <c r="BH102">
        <f t="shared" si="22"/>
        <v>1</v>
      </c>
      <c r="BI102">
        <f t="shared" si="23"/>
        <v>1</v>
      </c>
      <c r="BJ102">
        <f t="shared" si="24"/>
        <v>1</v>
      </c>
      <c r="BK102">
        <f t="shared" si="25"/>
        <v>1</v>
      </c>
      <c r="BL102">
        <f t="shared" si="26"/>
        <v>1</v>
      </c>
      <c r="BM102">
        <f t="shared" si="27"/>
        <v>1</v>
      </c>
    </row>
    <row r="103" spans="1:65" x14ac:dyDescent="0.25">
      <c r="A103" s="41" t="str">
        <f>ANALYSIS!B109</f>
        <v>20-29</v>
      </c>
      <c r="B103" s="41">
        <f>ANALYSIS!E109</f>
        <v>55</v>
      </c>
      <c r="C103" s="41">
        <f>ANALYSIS!G109</f>
        <v>25.35</v>
      </c>
      <c r="D103" s="41">
        <f t="shared" si="28"/>
        <v>3</v>
      </c>
      <c r="R103" cm="1">
        <f t="array" ref="R103">IF(AX103&gt;0,0,SUMPRODUCT((AX$25:AX$124=0)*($B$25:$B$124&gt;=$B103)*($B$25:$B$124&lt;=$B103+ANALYSIS!$G$5)*($C$25:$C$124&gt;=$C103)*($C$25:$C$124&lt;=$C103+ANALYSIS!$G$6)))</f>
        <v>4</v>
      </c>
      <c r="S103" cm="1">
        <f t="array" ref="S103">IF(AY103&gt;0,0,SUMPRODUCT((AY$25:AY$124=0)*($B$25:$B$124&gt;=$B103)*($B$25:$B$124&lt;=$B103+ANALYSIS!$G$5)*($C$25:$C$124&gt;=$C103)*($C$25:$C$124&lt;=$C103+ANALYSIS!$G$6)))</f>
        <v>4</v>
      </c>
      <c r="T103" cm="1">
        <f t="array" ref="T103">IF(AZ103&gt;0,0,SUMPRODUCT((AZ$25:AZ$124=0)*($B$25:$B$124&gt;=$B103)*($B$25:$B$124&lt;=$B103+ANALYSIS!$G$5)*($C$25:$C$124&gt;=$C103)*($C$25:$C$124&lt;=$C103+ANALYSIS!$G$6)))</f>
        <v>4</v>
      </c>
      <c r="U103" cm="1">
        <f t="array" ref="U103">IF(BA103&gt;0,0,SUMPRODUCT((BA$25:BA$124=0)*($B$25:$B$124&gt;=$B103)*($B$25:$B$124&lt;=$B103+ANALYSIS!$G$5)*($C$25:$C$124&gt;=$C103)*($C$25:$C$124&lt;=$C103+ANALYSIS!$G$6)))</f>
        <v>0</v>
      </c>
      <c r="V103" cm="1">
        <f t="array" ref="V103">IF(BB103&gt;0,0,SUMPRODUCT((BB$25:BB$124=0)*($B$25:$B$124&gt;=$B103)*($B$25:$B$124&lt;=$B103+ANALYSIS!$G$5)*($C$25:$C$124&gt;=$C103)*($C$25:$C$124&lt;=$C103+ANALYSIS!$G$6)))</f>
        <v>0</v>
      </c>
      <c r="W103" cm="1">
        <f t="array" ref="W103">IF(BC103&gt;0,0,SUMPRODUCT((BC$25:BC$124=0)*($B$25:$B$124&gt;=$B103)*($B$25:$B$124&lt;=$B103+ANALYSIS!$G$5)*($C$25:$C$124&gt;=$C103)*($C$25:$C$124&lt;=$C103+ANALYSIS!$G$6)))</f>
        <v>0</v>
      </c>
      <c r="X103" cm="1">
        <f t="array" ref="X103">IF(BD103&gt;0,0,SUMPRODUCT((BD$25:BD$124=0)*($B$25:$B$124&gt;=$B103)*($B$25:$B$124&lt;=$B103+ANALYSIS!$G$5)*($C$25:$C$124&gt;=$C103)*($C$25:$C$124&lt;=$C103+ANALYSIS!$G$6)))</f>
        <v>0</v>
      </c>
      <c r="Y103" cm="1">
        <f t="array" ref="Y103">IF(BE103&gt;0,0,SUMPRODUCT((BE$25:BE$124=0)*($B$25:$B$124&gt;=$B103)*($B$25:$B$124&lt;=$B103+ANALYSIS!$G$5)*($C$25:$C$124&gt;=$C103)*($C$25:$C$124&lt;=$C103+ANALYSIS!$G$6)))</f>
        <v>0</v>
      </c>
      <c r="Z103" cm="1">
        <f t="array" ref="Z103">IF(BF103&gt;0,0,SUMPRODUCT((BF$25:BF$124=0)*($B$25:$B$124&gt;=$B103)*($B$25:$B$124&lt;=$B103+ANALYSIS!$G$5)*($C$25:$C$124&gt;=$C103)*($C$25:$C$124&lt;=$C103+ANALYSIS!$G$6)))</f>
        <v>0</v>
      </c>
      <c r="AA103" cm="1">
        <f t="array" ref="AA103">IF(BG103&gt;0,0,SUMPRODUCT((BG$25:BG$124=0)*($B$25:$B$124&gt;=$B103)*($B$25:$B$124&lt;=$B103+ANALYSIS!$G$5)*($C$25:$C$124&gt;=$C103)*($C$25:$C$124&lt;=$C103+ANALYSIS!$G$6)))</f>
        <v>0</v>
      </c>
      <c r="AB103" cm="1">
        <f t="array" ref="AB103">IF(BH103&gt;0,0,SUMPRODUCT((BH$25:BH$124=0)*($B$25:$B$124&gt;=$B103)*($B$25:$B$124&lt;=$B103+ANALYSIS!$G$5)*($C$25:$C$124&gt;=$C103)*($C$25:$C$124&lt;=$C103+ANALYSIS!$G$6)))</f>
        <v>0</v>
      </c>
      <c r="AC103" cm="1">
        <f t="array" ref="AC103">IF(BI103&gt;0,0,SUMPRODUCT((BI$25:BI$124=0)*($B$25:$B$124&gt;=$B103)*($B$25:$B$124&lt;=$B103+ANALYSIS!$G$5)*($C$25:$C$124&gt;=$C103)*($C$25:$C$124&lt;=$C103+ANALYSIS!$G$6)))</f>
        <v>0</v>
      </c>
      <c r="AD103" cm="1">
        <f t="array" ref="AD103">IF(BJ103&gt;0,0,SUMPRODUCT((BJ$25:BJ$124=0)*($B$25:$B$124&gt;=$B103)*($B$25:$B$124&lt;=$B103+ANALYSIS!$G$5)*($C$25:$C$124&gt;=$C103)*($C$25:$C$124&lt;=$C103+ANALYSIS!$G$6)))</f>
        <v>0</v>
      </c>
      <c r="AE103" cm="1">
        <f t="array" ref="AE103">IF(BK103&gt;0,0,SUMPRODUCT((BK$25:BK$124=0)*($B$25:$B$124&gt;=$B103)*($B$25:$B$124&lt;=$B103+ANALYSIS!$G$5)*($C$25:$C$124&gt;=$C103)*($C$25:$C$124&lt;=$C103+ANALYSIS!$G$6)))</f>
        <v>0</v>
      </c>
      <c r="AF103" cm="1">
        <f t="array" ref="AF103">IF(BL103&gt;0,0,SUMPRODUCT((BL$25:BL$124=0)*($B$25:$B$124&gt;=$B103)*($B$25:$B$124&lt;=$B103+ANALYSIS!$G$5)*($C$25:$C$124&gt;=$C103)*($C$25:$C$124&lt;=$C103+ANALYSIS!$G$6)))</f>
        <v>0</v>
      </c>
      <c r="AH103">
        <f>IF(AND(AX103=0,$B103&gt;=R$22,$B103&lt;=R$22+ANALYSIS!$G$5,$C103&gt;=R$23,$C103&lt;=R$23+ANALYSIS!$G$6),1,0)</f>
        <v>0</v>
      </c>
      <c r="AI103">
        <f>IF(AND(AY103=0,$B103&gt;=S$22,$B103&lt;=S$22+ANALYSIS!$G$5,$C103&gt;=S$23,$C103&lt;=S$23+ANALYSIS!$G$6),1,0)</f>
        <v>0</v>
      </c>
      <c r="AJ103">
        <f>IF(AND(AZ103=0,$B103&gt;=T$22,$B103&lt;=T$22+ANALYSIS!$G$5,$C103&gt;=T$23,$C103&lt;=T$23+ANALYSIS!$G$6),1,0)</f>
        <v>1</v>
      </c>
      <c r="AK103">
        <f>IF(AND(BA103=0,$B103&gt;=U$22,$B103&lt;=U$22+ANALYSIS!$G$5,$C103&gt;=U$23,$C103&lt;=U$23+ANALYSIS!$G$6),1,0)</f>
        <v>0</v>
      </c>
      <c r="AL103">
        <f>IF(AND(BB103=0,$B103&gt;=V$22,$B103&lt;=V$22+ANALYSIS!$G$5,$C103&gt;=V$23,$C103&lt;=V$23+ANALYSIS!$G$6),1,0)</f>
        <v>0</v>
      </c>
      <c r="AM103">
        <f>IF(AND(BC103=0,$B103&gt;=W$22,$B103&lt;=W$22+ANALYSIS!$G$5,$C103&gt;=W$23,$C103&lt;=W$23+ANALYSIS!$G$6),1,0)</f>
        <v>0</v>
      </c>
      <c r="AN103">
        <f>IF(AND(BD103=0,$B103&gt;=X$22,$B103&lt;=X$22+ANALYSIS!$G$5,$C103&gt;=X$23,$C103&lt;=X$23+ANALYSIS!$G$6),1,0)</f>
        <v>0</v>
      </c>
      <c r="AO103">
        <f>IF(AND(BE103=0,$B103&gt;=Y$22,$B103&lt;=Y$22+ANALYSIS!$G$5,$C103&gt;=Y$23,$C103&lt;=Y$23+ANALYSIS!$G$6),1,0)</f>
        <v>0</v>
      </c>
      <c r="AP103">
        <f>IF(AND(BF103=0,$B103&gt;=Z$22,$B103&lt;=Z$22+ANALYSIS!$G$5,$C103&gt;=Z$23,$C103&lt;=Z$23+ANALYSIS!$G$6),1,0)</f>
        <v>0</v>
      </c>
      <c r="AQ103">
        <f>IF(AND(BG103=0,$B103&gt;=AA$22,$B103&lt;=AA$22+ANALYSIS!$G$5,$C103&gt;=AA$23,$C103&lt;=AA$23+ANALYSIS!$G$6),1,0)</f>
        <v>0</v>
      </c>
      <c r="AR103">
        <f>IF(AND(BH103=0,$B103&gt;=AB$22,$B103&lt;=AB$22+ANALYSIS!$G$5,$C103&gt;=AB$23,$C103&lt;=AB$23+ANALYSIS!$G$6),1,0)</f>
        <v>0</v>
      </c>
      <c r="AS103">
        <f>IF(AND(BI103=0,$B103&gt;=AC$22,$B103&lt;=AC$22+ANALYSIS!$G$5,$C103&gt;=AC$23,$C103&lt;=AC$23+ANALYSIS!$G$6),1,0)</f>
        <v>0</v>
      </c>
      <c r="AT103">
        <f>IF(AND(BJ103=0,$B103&gt;=AD$22,$B103&lt;=AD$22+ANALYSIS!$G$5,$C103&gt;=AD$23,$C103&lt;=AD$23+ANALYSIS!$G$6),1,0)</f>
        <v>0</v>
      </c>
      <c r="AU103">
        <f>IF(AND(BK103=0,$B103&gt;=AE$22,$B103&lt;=AE$22+ANALYSIS!$G$5,$C103&gt;=AE$23,$C103&lt;=AE$23+ANALYSIS!$G$6),1,0)</f>
        <v>0</v>
      </c>
      <c r="AV103">
        <f>IF(AND(BL103=0,$B103&gt;=AF$22,$B103&lt;=AF$22+ANALYSIS!$G$5,$C103&gt;=AF$23,$C103&lt;=AF$23+ANALYSIS!$G$6),1,0)</f>
        <v>0</v>
      </c>
      <c r="AX103">
        <v>0</v>
      </c>
      <c r="AY103">
        <f t="shared" si="29"/>
        <v>0</v>
      </c>
      <c r="AZ103">
        <f t="shared" si="14"/>
        <v>0</v>
      </c>
      <c r="BA103">
        <f t="shared" si="15"/>
        <v>1</v>
      </c>
      <c r="BB103">
        <f t="shared" si="16"/>
        <v>1</v>
      </c>
      <c r="BC103">
        <f t="shared" si="17"/>
        <v>1</v>
      </c>
      <c r="BD103">
        <f t="shared" si="18"/>
        <v>1</v>
      </c>
      <c r="BE103">
        <f t="shared" si="19"/>
        <v>1</v>
      </c>
      <c r="BF103">
        <f t="shared" si="20"/>
        <v>1</v>
      </c>
      <c r="BG103">
        <f t="shared" si="21"/>
        <v>1</v>
      </c>
      <c r="BH103">
        <f t="shared" si="22"/>
        <v>1</v>
      </c>
      <c r="BI103">
        <f t="shared" si="23"/>
        <v>1</v>
      </c>
      <c r="BJ103">
        <f t="shared" si="24"/>
        <v>1</v>
      </c>
      <c r="BK103">
        <f t="shared" si="25"/>
        <v>1</v>
      </c>
      <c r="BL103">
        <f t="shared" si="26"/>
        <v>1</v>
      </c>
      <c r="BM103">
        <f t="shared" si="27"/>
        <v>1</v>
      </c>
    </row>
    <row r="104" spans="1:65" x14ac:dyDescent="0.25">
      <c r="A104" s="41" t="str">
        <f>ANALYSIS!B110</f>
        <v>20-30</v>
      </c>
      <c r="B104" s="41">
        <f>ANALYSIS!E110</f>
        <v>55</v>
      </c>
      <c r="C104" s="41">
        <f>ANALYSIS!G110</f>
        <v>22.97</v>
      </c>
      <c r="D104" s="41">
        <f t="shared" si="28"/>
        <v>7</v>
      </c>
      <c r="R104" cm="1">
        <f t="array" ref="R104">IF(AX104&gt;0,0,SUMPRODUCT((AX$25:AX$124=0)*($B$25:$B$124&gt;=$B104)*($B$25:$B$124&lt;=$B104+ANALYSIS!$G$5)*($C$25:$C$124&gt;=$C104)*($C$25:$C$124&lt;=$C104+ANALYSIS!$G$6)))</f>
        <v>11</v>
      </c>
      <c r="S104" cm="1">
        <f t="array" ref="S104">IF(AY104&gt;0,0,SUMPRODUCT((AY$25:AY$124=0)*($B$25:$B$124&gt;=$B104)*($B$25:$B$124&lt;=$B104+ANALYSIS!$G$5)*($C$25:$C$124&gt;=$C104)*($C$25:$C$124&lt;=$C104+ANALYSIS!$G$6)))</f>
        <v>11</v>
      </c>
      <c r="T104" cm="1">
        <f t="array" ref="T104">IF(AZ104&gt;0,0,SUMPRODUCT((AZ$25:AZ$124=0)*($B$25:$B$124&gt;=$B104)*($B$25:$B$124&lt;=$B104+ANALYSIS!$G$5)*($C$25:$C$124&gt;=$C104)*($C$25:$C$124&lt;=$C104+ANALYSIS!$G$6)))</f>
        <v>5</v>
      </c>
      <c r="U104" cm="1">
        <f t="array" ref="U104">IF(BA104&gt;0,0,SUMPRODUCT((BA$25:BA$124=0)*($B$25:$B$124&gt;=$B104)*($B$25:$B$124&lt;=$B104+ANALYSIS!$G$5)*($C$25:$C$124&gt;=$C104)*($C$25:$C$124&lt;=$C104+ANALYSIS!$G$6)))</f>
        <v>5</v>
      </c>
      <c r="V104" cm="1">
        <f t="array" ref="V104">IF(BB104&gt;0,0,SUMPRODUCT((BB$25:BB$124=0)*($B$25:$B$124&gt;=$B104)*($B$25:$B$124&lt;=$B104+ANALYSIS!$G$5)*($C$25:$C$124&gt;=$C104)*($C$25:$C$124&lt;=$C104+ANALYSIS!$G$6)))</f>
        <v>5</v>
      </c>
      <c r="W104" cm="1">
        <f t="array" ref="W104">IF(BC104&gt;0,0,SUMPRODUCT((BC$25:BC$124=0)*($B$25:$B$124&gt;=$B104)*($B$25:$B$124&lt;=$B104+ANALYSIS!$G$5)*($C$25:$C$124&gt;=$C104)*($C$25:$C$124&lt;=$C104+ANALYSIS!$G$6)))</f>
        <v>5</v>
      </c>
      <c r="X104" cm="1">
        <f t="array" ref="X104">IF(BD104&gt;0,0,SUMPRODUCT((BD$25:BD$124=0)*($B$25:$B$124&gt;=$B104)*($B$25:$B$124&lt;=$B104+ANALYSIS!$G$5)*($C$25:$C$124&gt;=$C104)*($C$25:$C$124&lt;=$C104+ANALYSIS!$G$6)))</f>
        <v>5</v>
      </c>
      <c r="Y104" cm="1">
        <f t="array" ref="Y104">IF(BE104&gt;0,0,SUMPRODUCT((BE$25:BE$124=0)*($B$25:$B$124&gt;=$B104)*($B$25:$B$124&lt;=$B104+ANALYSIS!$G$5)*($C$25:$C$124&gt;=$C104)*($C$25:$C$124&lt;=$C104+ANALYSIS!$G$6)))</f>
        <v>0</v>
      </c>
      <c r="Z104" cm="1">
        <f t="array" ref="Z104">IF(BF104&gt;0,0,SUMPRODUCT((BF$25:BF$124=0)*($B$25:$B$124&gt;=$B104)*($B$25:$B$124&lt;=$B104+ANALYSIS!$G$5)*($C$25:$C$124&gt;=$C104)*($C$25:$C$124&lt;=$C104+ANALYSIS!$G$6)))</f>
        <v>0</v>
      </c>
      <c r="AA104" cm="1">
        <f t="array" ref="AA104">IF(BG104&gt;0,0,SUMPRODUCT((BG$25:BG$124=0)*($B$25:$B$124&gt;=$B104)*($B$25:$B$124&lt;=$B104+ANALYSIS!$G$5)*($C$25:$C$124&gt;=$C104)*($C$25:$C$124&lt;=$C104+ANALYSIS!$G$6)))</f>
        <v>0</v>
      </c>
      <c r="AB104" cm="1">
        <f t="array" ref="AB104">IF(BH104&gt;0,0,SUMPRODUCT((BH$25:BH$124=0)*($B$25:$B$124&gt;=$B104)*($B$25:$B$124&lt;=$B104+ANALYSIS!$G$5)*($C$25:$C$124&gt;=$C104)*($C$25:$C$124&lt;=$C104+ANALYSIS!$G$6)))</f>
        <v>0</v>
      </c>
      <c r="AC104" cm="1">
        <f t="array" ref="AC104">IF(BI104&gt;0,0,SUMPRODUCT((BI$25:BI$124=0)*($B$25:$B$124&gt;=$B104)*($B$25:$B$124&lt;=$B104+ANALYSIS!$G$5)*($C$25:$C$124&gt;=$C104)*($C$25:$C$124&lt;=$C104+ANALYSIS!$G$6)))</f>
        <v>0</v>
      </c>
      <c r="AD104" cm="1">
        <f t="array" ref="AD104">IF(BJ104&gt;0,0,SUMPRODUCT((BJ$25:BJ$124=0)*($B$25:$B$124&gt;=$B104)*($B$25:$B$124&lt;=$B104+ANALYSIS!$G$5)*($C$25:$C$124&gt;=$C104)*($C$25:$C$124&lt;=$C104+ANALYSIS!$G$6)))</f>
        <v>0</v>
      </c>
      <c r="AE104" cm="1">
        <f t="array" ref="AE104">IF(BK104&gt;0,0,SUMPRODUCT((BK$25:BK$124=0)*($B$25:$B$124&gt;=$B104)*($B$25:$B$124&lt;=$B104+ANALYSIS!$G$5)*($C$25:$C$124&gt;=$C104)*($C$25:$C$124&lt;=$C104+ANALYSIS!$G$6)))</f>
        <v>0</v>
      </c>
      <c r="AF104" cm="1">
        <f t="array" ref="AF104">IF(BL104&gt;0,0,SUMPRODUCT((BL$25:BL$124=0)*($B$25:$B$124&gt;=$B104)*($B$25:$B$124&lt;=$B104+ANALYSIS!$G$5)*($C$25:$C$124&gt;=$C104)*($C$25:$C$124&lt;=$C104+ANALYSIS!$G$6)))</f>
        <v>0</v>
      </c>
      <c r="AH104">
        <f>IF(AND(AX104=0,$B104&gt;=R$22,$B104&lt;=R$22+ANALYSIS!$G$5,$C104&gt;=R$23,$C104&lt;=R$23+ANALYSIS!$G$6),1,0)</f>
        <v>0</v>
      </c>
      <c r="AI104">
        <f>IF(AND(AY104=0,$B104&gt;=S$22,$B104&lt;=S$22+ANALYSIS!$G$5,$C104&gt;=S$23,$C104&lt;=S$23+ANALYSIS!$G$6),1,0)</f>
        <v>0</v>
      </c>
      <c r="AJ104">
        <f>IF(AND(AZ104=0,$B104&gt;=T$22,$B104&lt;=T$22+ANALYSIS!$G$5,$C104&gt;=T$23,$C104&lt;=T$23+ANALYSIS!$G$6),1,0)</f>
        <v>0</v>
      </c>
      <c r="AK104">
        <f>IF(AND(BA104=0,$B104&gt;=U$22,$B104&lt;=U$22+ANALYSIS!$G$5,$C104&gt;=U$23,$C104&lt;=U$23+ANALYSIS!$G$6),1,0)</f>
        <v>0</v>
      </c>
      <c r="AL104">
        <f>IF(AND(BB104=0,$B104&gt;=V$22,$B104&lt;=V$22+ANALYSIS!$G$5,$C104&gt;=V$23,$C104&lt;=V$23+ANALYSIS!$G$6),1,0)</f>
        <v>0</v>
      </c>
      <c r="AM104">
        <f>IF(AND(BC104=0,$B104&gt;=W$22,$B104&lt;=W$22+ANALYSIS!$G$5,$C104&gt;=W$23,$C104&lt;=W$23+ANALYSIS!$G$6),1,0)</f>
        <v>0</v>
      </c>
      <c r="AN104">
        <f>IF(AND(BD104=0,$B104&gt;=X$22,$B104&lt;=X$22+ANALYSIS!$G$5,$C104&gt;=X$23,$C104&lt;=X$23+ANALYSIS!$G$6),1,0)</f>
        <v>1</v>
      </c>
      <c r="AO104">
        <f>IF(AND(BE104=0,$B104&gt;=Y$22,$B104&lt;=Y$22+ANALYSIS!$G$5,$C104&gt;=Y$23,$C104&lt;=Y$23+ANALYSIS!$G$6),1,0)</f>
        <v>0</v>
      </c>
      <c r="AP104">
        <f>IF(AND(BF104=0,$B104&gt;=Z$22,$B104&lt;=Z$22+ANALYSIS!$G$5,$C104&gt;=Z$23,$C104&lt;=Z$23+ANALYSIS!$G$6),1,0)</f>
        <v>0</v>
      </c>
      <c r="AQ104">
        <f>IF(AND(BG104=0,$B104&gt;=AA$22,$B104&lt;=AA$22+ANALYSIS!$G$5,$C104&gt;=AA$23,$C104&lt;=AA$23+ANALYSIS!$G$6),1,0)</f>
        <v>0</v>
      </c>
      <c r="AR104">
        <f>IF(AND(BH104=0,$B104&gt;=AB$22,$B104&lt;=AB$22+ANALYSIS!$G$5,$C104&gt;=AB$23,$C104&lt;=AB$23+ANALYSIS!$G$6),1,0)</f>
        <v>0</v>
      </c>
      <c r="AS104">
        <f>IF(AND(BI104=0,$B104&gt;=AC$22,$B104&lt;=AC$22+ANALYSIS!$G$5,$C104&gt;=AC$23,$C104&lt;=AC$23+ANALYSIS!$G$6),1,0)</f>
        <v>0</v>
      </c>
      <c r="AT104">
        <f>IF(AND(BJ104=0,$B104&gt;=AD$22,$B104&lt;=AD$22+ANALYSIS!$G$5,$C104&gt;=AD$23,$C104&lt;=AD$23+ANALYSIS!$G$6),1,0)</f>
        <v>0</v>
      </c>
      <c r="AU104">
        <f>IF(AND(BK104=0,$B104&gt;=AE$22,$B104&lt;=AE$22+ANALYSIS!$G$5,$C104&gt;=AE$23,$C104&lt;=AE$23+ANALYSIS!$G$6),1,0)</f>
        <v>0</v>
      </c>
      <c r="AV104">
        <f>IF(AND(BL104=0,$B104&gt;=AF$22,$B104&lt;=AF$22+ANALYSIS!$G$5,$C104&gt;=AF$23,$C104&lt;=AF$23+ANALYSIS!$G$6),1,0)</f>
        <v>0</v>
      </c>
      <c r="AX104">
        <v>0</v>
      </c>
      <c r="AY104">
        <f t="shared" si="29"/>
        <v>0</v>
      </c>
      <c r="AZ104">
        <f t="shared" si="14"/>
        <v>0</v>
      </c>
      <c r="BA104">
        <f t="shared" si="15"/>
        <v>0</v>
      </c>
      <c r="BB104">
        <f t="shared" si="16"/>
        <v>0</v>
      </c>
      <c r="BC104">
        <f t="shared" si="17"/>
        <v>0</v>
      </c>
      <c r="BD104">
        <f t="shared" si="18"/>
        <v>0</v>
      </c>
      <c r="BE104">
        <f t="shared" si="19"/>
        <v>1</v>
      </c>
      <c r="BF104">
        <f t="shared" si="20"/>
        <v>1</v>
      </c>
      <c r="BG104">
        <f t="shared" si="21"/>
        <v>1</v>
      </c>
      <c r="BH104">
        <f t="shared" si="22"/>
        <v>1</v>
      </c>
      <c r="BI104">
        <f t="shared" si="23"/>
        <v>1</v>
      </c>
      <c r="BJ104">
        <f t="shared" si="24"/>
        <v>1</v>
      </c>
      <c r="BK104">
        <f t="shared" si="25"/>
        <v>1</v>
      </c>
      <c r="BL104">
        <f t="shared" si="26"/>
        <v>1</v>
      </c>
      <c r="BM104">
        <f t="shared" si="27"/>
        <v>1</v>
      </c>
    </row>
    <row r="105" spans="1:65" x14ac:dyDescent="0.25">
      <c r="A105" s="41" t="str">
        <f>ANALYSIS!B111</f>
        <v>20-31</v>
      </c>
      <c r="B105" s="41">
        <f>ANALYSIS!E111</f>
        <v>53</v>
      </c>
      <c r="C105" s="41">
        <f>ANALYSIS!G111</f>
        <v>22.06</v>
      </c>
      <c r="D105" s="41">
        <f t="shared" si="28"/>
        <v>5</v>
      </c>
      <c r="R105" cm="1">
        <f t="array" ref="R105">IF(AX105&gt;0,0,SUMPRODUCT((AX$25:AX$124=0)*($B$25:$B$124&gt;=$B105)*($B$25:$B$124&lt;=$B105+ANALYSIS!$G$5)*($C$25:$C$124&gt;=$C105)*($C$25:$C$124&lt;=$C105+ANALYSIS!$G$6)))</f>
        <v>7</v>
      </c>
      <c r="S105" cm="1">
        <f t="array" ref="S105">IF(AY105&gt;0,0,SUMPRODUCT((AY$25:AY$124=0)*($B$25:$B$124&gt;=$B105)*($B$25:$B$124&lt;=$B105+ANALYSIS!$G$5)*($C$25:$C$124&gt;=$C105)*($C$25:$C$124&lt;=$C105+ANALYSIS!$G$6)))</f>
        <v>7</v>
      </c>
      <c r="T105" cm="1">
        <f t="array" ref="T105">IF(AZ105&gt;0,0,SUMPRODUCT((AZ$25:AZ$124=0)*($B$25:$B$124&gt;=$B105)*($B$25:$B$124&lt;=$B105+ANALYSIS!$G$5)*($C$25:$C$124&gt;=$C105)*($C$25:$C$124&lt;=$C105+ANALYSIS!$G$6)))</f>
        <v>7</v>
      </c>
      <c r="U105" cm="1">
        <f t="array" ref="U105">IF(BA105&gt;0,0,SUMPRODUCT((BA$25:BA$124=0)*($B$25:$B$124&gt;=$B105)*($B$25:$B$124&lt;=$B105+ANALYSIS!$G$5)*($C$25:$C$124&gt;=$C105)*($C$25:$C$124&lt;=$C105+ANALYSIS!$G$6)))</f>
        <v>7</v>
      </c>
      <c r="V105" cm="1">
        <f t="array" ref="V105">IF(BB105&gt;0,0,SUMPRODUCT((BB$25:BB$124=0)*($B$25:$B$124&gt;=$B105)*($B$25:$B$124&lt;=$B105+ANALYSIS!$G$5)*($C$25:$C$124&gt;=$C105)*($C$25:$C$124&lt;=$C105+ANALYSIS!$G$6)))</f>
        <v>7</v>
      </c>
      <c r="W105" cm="1">
        <f t="array" ref="W105">IF(BC105&gt;0,0,SUMPRODUCT((BC$25:BC$124=0)*($B$25:$B$124&gt;=$B105)*($B$25:$B$124&lt;=$B105+ANALYSIS!$G$5)*($C$25:$C$124&gt;=$C105)*($C$25:$C$124&lt;=$C105+ANALYSIS!$G$6)))</f>
        <v>0</v>
      </c>
      <c r="X105" cm="1">
        <f t="array" ref="X105">IF(BD105&gt;0,0,SUMPRODUCT((BD$25:BD$124=0)*($B$25:$B$124&gt;=$B105)*($B$25:$B$124&lt;=$B105+ANALYSIS!$G$5)*($C$25:$C$124&gt;=$C105)*($C$25:$C$124&lt;=$C105+ANALYSIS!$G$6)))</f>
        <v>0</v>
      </c>
      <c r="Y105" cm="1">
        <f t="array" ref="Y105">IF(BE105&gt;0,0,SUMPRODUCT((BE$25:BE$124=0)*($B$25:$B$124&gt;=$B105)*($B$25:$B$124&lt;=$B105+ANALYSIS!$G$5)*($C$25:$C$124&gt;=$C105)*($C$25:$C$124&lt;=$C105+ANALYSIS!$G$6)))</f>
        <v>0</v>
      </c>
      <c r="Z105" cm="1">
        <f t="array" ref="Z105">IF(BF105&gt;0,0,SUMPRODUCT((BF$25:BF$124=0)*($B$25:$B$124&gt;=$B105)*($B$25:$B$124&lt;=$B105+ANALYSIS!$G$5)*($C$25:$C$124&gt;=$C105)*($C$25:$C$124&lt;=$C105+ANALYSIS!$G$6)))</f>
        <v>0</v>
      </c>
      <c r="AA105" cm="1">
        <f t="array" ref="AA105">IF(BG105&gt;0,0,SUMPRODUCT((BG$25:BG$124=0)*($B$25:$B$124&gt;=$B105)*($B$25:$B$124&lt;=$B105+ANALYSIS!$G$5)*($C$25:$C$124&gt;=$C105)*($C$25:$C$124&lt;=$C105+ANALYSIS!$G$6)))</f>
        <v>0</v>
      </c>
      <c r="AB105" cm="1">
        <f t="array" ref="AB105">IF(BH105&gt;0,0,SUMPRODUCT((BH$25:BH$124=0)*($B$25:$B$124&gt;=$B105)*($B$25:$B$124&lt;=$B105+ANALYSIS!$G$5)*($C$25:$C$124&gt;=$C105)*($C$25:$C$124&lt;=$C105+ANALYSIS!$G$6)))</f>
        <v>0</v>
      </c>
      <c r="AC105" cm="1">
        <f t="array" ref="AC105">IF(BI105&gt;0,0,SUMPRODUCT((BI$25:BI$124=0)*($B$25:$B$124&gt;=$B105)*($B$25:$B$124&lt;=$B105+ANALYSIS!$G$5)*($C$25:$C$124&gt;=$C105)*($C$25:$C$124&lt;=$C105+ANALYSIS!$G$6)))</f>
        <v>0</v>
      </c>
      <c r="AD105" cm="1">
        <f t="array" ref="AD105">IF(BJ105&gt;0,0,SUMPRODUCT((BJ$25:BJ$124=0)*($B$25:$B$124&gt;=$B105)*($B$25:$B$124&lt;=$B105+ANALYSIS!$G$5)*($C$25:$C$124&gt;=$C105)*($C$25:$C$124&lt;=$C105+ANALYSIS!$G$6)))</f>
        <v>0</v>
      </c>
      <c r="AE105" cm="1">
        <f t="array" ref="AE105">IF(BK105&gt;0,0,SUMPRODUCT((BK$25:BK$124=0)*($B$25:$B$124&gt;=$B105)*($B$25:$B$124&lt;=$B105+ANALYSIS!$G$5)*($C$25:$C$124&gt;=$C105)*($C$25:$C$124&lt;=$C105+ANALYSIS!$G$6)))</f>
        <v>0</v>
      </c>
      <c r="AF105" cm="1">
        <f t="array" ref="AF105">IF(BL105&gt;0,0,SUMPRODUCT((BL$25:BL$124=0)*($B$25:$B$124&gt;=$B105)*($B$25:$B$124&lt;=$B105+ANALYSIS!$G$5)*($C$25:$C$124&gt;=$C105)*($C$25:$C$124&lt;=$C105+ANALYSIS!$G$6)))</f>
        <v>0</v>
      </c>
      <c r="AH105">
        <f>IF(AND(AX105=0,$B105&gt;=R$22,$B105&lt;=R$22+ANALYSIS!$G$5,$C105&gt;=R$23,$C105&lt;=R$23+ANALYSIS!$G$6),1,0)</f>
        <v>0</v>
      </c>
      <c r="AI105">
        <f>IF(AND(AY105=0,$B105&gt;=S$22,$B105&lt;=S$22+ANALYSIS!$G$5,$C105&gt;=S$23,$C105&lt;=S$23+ANALYSIS!$G$6),1,0)</f>
        <v>0</v>
      </c>
      <c r="AJ105">
        <f>IF(AND(AZ105=0,$B105&gt;=T$22,$B105&lt;=T$22+ANALYSIS!$G$5,$C105&gt;=T$23,$C105&lt;=T$23+ANALYSIS!$G$6),1,0)</f>
        <v>0</v>
      </c>
      <c r="AK105">
        <f>IF(AND(BA105=0,$B105&gt;=U$22,$B105&lt;=U$22+ANALYSIS!$G$5,$C105&gt;=U$23,$C105&lt;=U$23+ANALYSIS!$G$6),1,0)</f>
        <v>0</v>
      </c>
      <c r="AL105">
        <f>IF(AND(BB105=0,$B105&gt;=V$22,$B105&lt;=V$22+ANALYSIS!$G$5,$C105&gt;=V$23,$C105&lt;=V$23+ANALYSIS!$G$6),1,0)</f>
        <v>1</v>
      </c>
      <c r="AM105">
        <f>IF(AND(BC105=0,$B105&gt;=W$22,$B105&lt;=W$22+ANALYSIS!$G$5,$C105&gt;=W$23,$C105&lt;=W$23+ANALYSIS!$G$6),1,0)</f>
        <v>0</v>
      </c>
      <c r="AN105">
        <f>IF(AND(BD105=0,$B105&gt;=X$22,$B105&lt;=X$22+ANALYSIS!$G$5,$C105&gt;=X$23,$C105&lt;=X$23+ANALYSIS!$G$6),1,0)</f>
        <v>0</v>
      </c>
      <c r="AO105">
        <f>IF(AND(BE105=0,$B105&gt;=Y$22,$B105&lt;=Y$22+ANALYSIS!$G$5,$C105&gt;=Y$23,$C105&lt;=Y$23+ANALYSIS!$G$6),1,0)</f>
        <v>0</v>
      </c>
      <c r="AP105">
        <f>IF(AND(BF105=0,$B105&gt;=Z$22,$B105&lt;=Z$22+ANALYSIS!$G$5,$C105&gt;=Z$23,$C105&lt;=Z$23+ANALYSIS!$G$6),1,0)</f>
        <v>0</v>
      </c>
      <c r="AQ105">
        <f>IF(AND(BG105=0,$B105&gt;=AA$22,$B105&lt;=AA$22+ANALYSIS!$G$5,$C105&gt;=AA$23,$C105&lt;=AA$23+ANALYSIS!$G$6),1,0)</f>
        <v>0</v>
      </c>
      <c r="AR105">
        <f>IF(AND(BH105=0,$B105&gt;=AB$22,$B105&lt;=AB$22+ANALYSIS!$G$5,$C105&gt;=AB$23,$C105&lt;=AB$23+ANALYSIS!$G$6),1,0)</f>
        <v>0</v>
      </c>
      <c r="AS105">
        <f>IF(AND(BI105=0,$B105&gt;=AC$22,$B105&lt;=AC$22+ANALYSIS!$G$5,$C105&gt;=AC$23,$C105&lt;=AC$23+ANALYSIS!$G$6),1,0)</f>
        <v>0</v>
      </c>
      <c r="AT105">
        <f>IF(AND(BJ105=0,$B105&gt;=AD$22,$B105&lt;=AD$22+ANALYSIS!$G$5,$C105&gt;=AD$23,$C105&lt;=AD$23+ANALYSIS!$G$6),1,0)</f>
        <v>0</v>
      </c>
      <c r="AU105">
        <f>IF(AND(BK105=0,$B105&gt;=AE$22,$B105&lt;=AE$22+ANALYSIS!$G$5,$C105&gt;=AE$23,$C105&lt;=AE$23+ANALYSIS!$G$6),1,0)</f>
        <v>0</v>
      </c>
      <c r="AV105">
        <f>IF(AND(BL105=0,$B105&gt;=AF$22,$B105&lt;=AF$22+ANALYSIS!$G$5,$C105&gt;=AF$23,$C105&lt;=AF$23+ANALYSIS!$G$6),1,0)</f>
        <v>0</v>
      </c>
      <c r="AX105">
        <v>0</v>
      </c>
      <c r="AY105">
        <f t="shared" si="29"/>
        <v>0</v>
      </c>
      <c r="AZ105">
        <f t="shared" ref="AZ105:AZ124" si="30">AY105+AI105</f>
        <v>0</v>
      </c>
      <c r="BA105">
        <f t="shared" ref="BA105:BA124" si="31">AZ105+AJ105</f>
        <v>0</v>
      </c>
      <c r="BB105">
        <f t="shared" ref="BB105:BB124" si="32">BA105+AK105</f>
        <v>0</v>
      </c>
      <c r="BC105">
        <f t="shared" ref="BC105:BC124" si="33">BB105+AL105</f>
        <v>1</v>
      </c>
      <c r="BD105">
        <f t="shared" ref="BD105:BD124" si="34">BC105+AM105</f>
        <v>1</v>
      </c>
      <c r="BE105">
        <f t="shared" ref="BE105:BE124" si="35">BD105+AN105</f>
        <v>1</v>
      </c>
      <c r="BF105">
        <f t="shared" ref="BF105:BF124" si="36">BE105+AO105</f>
        <v>1</v>
      </c>
      <c r="BG105">
        <f t="shared" ref="BG105:BG124" si="37">BF105+AP105</f>
        <v>1</v>
      </c>
      <c r="BH105">
        <f t="shared" ref="BH105:BH124" si="38">BG105+AQ105</f>
        <v>1</v>
      </c>
      <c r="BI105">
        <f t="shared" ref="BI105:BI124" si="39">BH105+AR105</f>
        <v>1</v>
      </c>
      <c r="BJ105">
        <f t="shared" ref="BJ105:BJ124" si="40">BI105+AS105</f>
        <v>1</v>
      </c>
      <c r="BK105">
        <f t="shared" ref="BK105:BK124" si="41">BJ105+AT105</f>
        <v>1</v>
      </c>
      <c r="BL105">
        <f t="shared" ref="BL105:BL124" si="42">BK105+AU105</f>
        <v>1</v>
      </c>
      <c r="BM105">
        <f t="shared" ref="BM105:BM124" si="43">BL105+AV105</f>
        <v>1</v>
      </c>
    </row>
    <row r="106" spans="1:65" x14ac:dyDescent="0.25">
      <c r="A106" s="41" t="str">
        <f>ANALYSIS!B112</f>
        <v>20-32</v>
      </c>
      <c r="B106" s="41">
        <f>ANALYSIS!E112</f>
        <v>52.5</v>
      </c>
      <c r="C106" s="41">
        <f>ANALYSIS!G112</f>
        <v>24.46</v>
      </c>
      <c r="D106" s="41" t="str">
        <f t="shared" si="28"/>
        <v/>
      </c>
      <c r="R106" cm="1">
        <f t="array" ref="R106">IF(AX106&gt;0,0,SUMPRODUCT((AX$25:AX$124=0)*($B$25:$B$124&gt;=$B106)*($B$25:$B$124&lt;=$B106+ANALYSIS!$G$5)*($C$25:$C$124&gt;=$C106)*($C$25:$C$124&lt;=$C106+ANALYSIS!$G$6)))</f>
        <v>2</v>
      </c>
      <c r="S106" cm="1">
        <f t="array" ref="S106">IF(AY106&gt;0,0,SUMPRODUCT((AY$25:AY$124=0)*($B$25:$B$124&gt;=$B106)*($B$25:$B$124&lt;=$B106+ANALYSIS!$G$5)*($C$25:$C$124&gt;=$C106)*($C$25:$C$124&lt;=$C106+ANALYSIS!$G$6)))</f>
        <v>2</v>
      </c>
      <c r="T106" cm="1">
        <f t="array" ref="T106">IF(AZ106&gt;0,0,SUMPRODUCT((AZ$25:AZ$124=0)*($B$25:$B$124&gt;=$B106)*($B$25:$B$124&lt;=$B106+ANALYSIS!$G$5)*($C$25:$C$124&gt;=$C106)*($C$25:$C$124&lt;=$C106+ANALYSIS!$G$6)))</f>
        <v>2</v>
      </c>
      <c r="U106" cm="1">
        <f t="array" ref="U106">IF(BA106&gt;0,0,SUMPRODUCT((BA$25:BA$124=0)*($B$25:$B$124&gt;=$B106)*($B$25:$B$124&lt;=$B106+ANALYSIS!$G$5)*($C$25:$C$124&gt;=$C106)*($C$25:$C$124&lt;=$C106+ANALYSIS!$G$6)))</f>
        <v>2</v>
      </c>
      <c r="V106" cm="1">
        <f t="array" ref="V106">IF(BB106&gt;0,0,SUMPRODUCT((BB$25:BB$124=0)*($B$25:$B$124&gt;=$B106)*($B$25:$B$124&lt;=$B106+ANALYSIS!$G$5)*($C$25:$C$124&gt;=$C106)*($C$25:$C$124&lt;=$C106+ANALYSIS!$G$6)))</f>
        <v>2</v>
      </c>
      <c r="W106" cm="1">
        <f t="array" ref="W106">IF(BC106&gt;0,0,SUMPRODUCT((BC$25:BC$124=0)*($B$25:$B$124&gt;=$B106)*($B$25:$B$124&lt;=$B106+ANALYSIS!$G$5)*($C$25:$C$124&gt;=$C106)*($C$25:$C$124&lt;=$C106+ANALYSIS!$G$6)))</f>
        <v>2</v>
      </c>
      <c r="X106" cm="1">
        <f t="array" ref="X106">IF(BD106&gt;0,0,SUMPRODUCT((BD$25:BD$124=0)*($B$25:$B$124&gt;=$B106)*($B$25:$B$124&lt;=$B106+ANALYSIS!$G$5)*($C$25:$C$124&gt;=$C106)*($C$25:$C$124&lt;=$C106+ANALYSIS!$G$6)))</f>
        <v>2</v>
      </c>
      <c r="Y106" cm="1">
        <f t="array" ref="Y106">IF(BE106&gt;0,0,SUMPRODUCT((BE$25:BE$124=0)*($B$25:$B$124&gt;=$B106)*($B$25:$B$124&lt;=$B106+ANALYSIS!$G$5)*($C$25:$C$124&gt;=$C106)*($C$25:$C$124&lt;=$C106+ANALYSIS!$G$6)))</f>
        <v>2</v>
      </c>
      <c r="Z106" cm="1">
        <f t="array" ref="Z106">IF(BF106&gt;0,0,SUMPRODUCT((BF$25:BF$124=0)*($B$25:$B$124&gt;=$B106)*($B$25:$B$124&lt;=$B106+ANALYSIS!$G$5)*($C$25:$C$124&gt;=$C106)*($C$25:$C$124&lt;=$C106+ANALYSIS!$G$6)))</f>
        <v>2</v>
      </c>
      <c r="AA106" cm="1">
        <f t="array" ref="AA106">IF(BG106&gt;0,0,SUMPRODUCT((BG$25:BG$124=0)*($B$25:$B$124&gt;=$B106)*($B$25:$B$124&lt;=$B106+ANALYSIS!$G$5)*($C$25:$C$124&gt;=$C106)*($C$25:$C$124&lt;=$C106+ANALYSIS!$G$6)))</f>
        <v>2</v>
      </c>
      <c r="AB106" cm="1">
        <f t="array" ref="AB106">IF(BH106&gt;0,0,SUMPRODUCT((BH$25:BH$124=0)*($B$25:$B$124&gt;=$B106)*($B$25:$B$124&lt;=$B106+ANALYSIS!$G$5)*($C$25:$C$124&gt;=$C106)*($C$25:$C$124&lt;=$C106+ANALYSIS!$G$6)))</f>
        <v>1</v>
      </c>
      <c r="AC106" cm="1">
        <f t="array" ref="AC106">IF(BI106&gt;0,0,SUMPRODUCT((BI$25:BI$124=0)*($B$25:$B$124&gt;=$B106)*($B$25:$B$124&lt;=$B106+ANALYSIS!$G$5)*($C$25:$C$124&gt;=$C106)*($C$25:$C$124&lt;=$C106+ANALYSIS!$G$6)))</f>
        <v>1</v>
      </c>
      <c r="AD106" cm="1">
        <f t="array" ref="AD106">IF(BJ106&gt;0,0,SUMPRODUCT((BJ$25:BJ$124=0)*($B$25:$B$124&gt;=$B106)*($B$25:$B$124&lt;=$B106+ANALYSIS!$G$5)*($C$25:$C$124&gt;=$C106)*($C$25:$C$124&lt;=$C106+ANALYSIS!$G$6)))</f>
        <v>1</v>
      </c>
      <c r="AE106" cm="1">
        <f t="array" ref="AE106">IF(BK106&gt;0,0,SUMPRODUCT((BK$25:BK$124=0)*($B$25:$B$124&gt;=$B106)*($B$25:$B$124&lt;=$B106+ANALYSIS!$G$5)*($C$25:$C$124&gt;=$C106)*($C$25:$C$124&lt;=$C106+ANALYSIS!$G$6)))</f>
        <v>1</v>
      </c>
      <c r="AF106" cm="1">
        <f t="array" ref="AF106">IF(BL106&gt;0,0,SUMPRODUCT((BL$25:BL$124=0)*($B$25:$B$124&gt;=$B106)*($B$25:$B$124&lt;=$B106+ANALYSIS!$G$5)*($C$25:$C$124&gt;=$C106)*($C$25:$C$124&lt;=$C106+ANALYSIS!$G$6)))</f>
        <v>1</v>
      </c>
      <c r="AH106">
        <f>IF(AND(AX106=0,$B106&gt;=R$22,$B106&lt;=R$22+ANALYSIS!$G$5,$C106&gt;=R$23,$C106&lt;=R$23+ANALYSIS!$G$6),1,0)</f>
        <v>0</v>
      </c>
      <c r="AI106">
        <f>IF(AND(AY106=0,$B106&gt;=S$22,$B106&lt;=S$22+ANALYSIS!$G$5,$C106&gt;=S$23,$C106&lt;=S$23+ANALYSIS!$G$6),1,0)</f>
        <v>0</v>
      </c>
      <c r="AJ106">
        <f>IF(AND(AZ106=0,$B106&gt;=T$22,$B106&lt;=T$22+ANALYSIS!$G$5,$C106&gt;=T$23,$C106&lt;=T$23+ANALYSIS!$G$6),1,0)</f>
        <v>0</v>
      </c>
      <c r="AK106">
        <f>IF(AND(BA106=0,$B106&gt;=U$22,$B106&lt;=U$22+ANALYSIS!$G$5,$C106&gt;=U$23,$C106&lt;=U$23+ANALYSIS!$G$6),1,0)</f>
        <v>0</v>
      </c>
      <c r="AL106">
        <f>IF(AND(BB106=0,$B106&gt;=V$22,$B106&lt;=V$22+ANALYSIS!$G$5,$C106&gt;=V$23,$C106&lt;=V$23+ANALYSIS!$G$6),1,0)</f>
        <v>0</v>
      </c>
      <c r="AM106">
        <f>IF(AND(BC106=0,$B106&gt;=W$22,$B106&lt;=W$22+ANALYSIS!$G$5,$C106&gt;=W$23,$C106&lt;=W$23+ANALYSIS!$G$6),1,0)</f>
        <v>0</v>
      </c>
      <c r="AN106">
        <f>IF(AND(BD106=0,$B106&gt;=X$22,$B106&lt;=X$22+ANALYSIS!$G$5,$C106&gt;=X$23,$C106&lt;=X$23+ANALYSIS!$G$6),1,0)</f>
        <v>0</v>
      </c>
      <c r="AO106">
        <f>IF(AND(BE106=0,$B106&gt;=Y$22,$B106&lt;=Y$22+ANALYSIS!$G$5,$C106&gt;=Y$23,$C106&lt;=Y$23+ANALYSIS!$G$6),1,0)</f>
        <v>0</v>
      </c>
      <c r="AP106">
        <f>IF(AND(BF106=0,$B106&gt;=Z$22,$B106&lt;=Z$22+ANALYSIS!$G$5,$C106&gt;=Z$23,$C106&lt;=Z$23+ANALYSIS!$G$6),1,0)</f>
        <v>0</v>
      </c>
      <c r="AQ106">
        <f>IF(AND(BG106=0,$B106&gt;=AA$22,$B106&lt;=AA$22+ANALYSIS!$G$5,$C106&gt;=AA$23,$C106&lt;=AA$23+ANALYSIS!$G$6),1,0)</f>
        <v>0</v>
      </c>
      <c r="AR106">
        <f>IF(AND(BH106=0,$B106&gt;=AB$22,$B106&lt;=AB$22+ANALYSIS!$G$5,$C106&gt;=AB$23,$C106&lt;=AB$23+ANALYSIS!$G$6),1,0)</f>
        <v>0</v>
      </c>
      <c r="AS106">
        <f>IF(AND(BI106=0,$B106&gt;=AC$22,$B106&lt;=AC$22+ANALYSIS!$G$5,$C106&gt;=AC$23,$C106&lt;=AC$23+ANALYSIS!$G$6),1,0)</f>
        <v>0</v>
      </c>
      <c r="AT106">
        <f>IF(AND(BJ106=0,$B106&gt;=AD$22,$B106&lt;=AD$22+ANALYSIS!$G$5,$C106&gt;=AD$23,$C106&lt;=AD$23+ANALYSIS!$G$6),1,0)</f>
        <v>0</v>
      </c>
      <c r="AU106">
        <f>IF(AND(BK106=0,$B106&gt;=AE$22,$B106&lt;=AE$22+ANALYSIS!$G$5,$C106&gt;=AE$23,$C106&lt;=AE$23+ANALYSIS!$G$6),1,0)</f>
        <v>0</v>
      </c>
      <c r="AV106">
        <f>IF(AND(BL106=0,$B106&gt;=AF$22,$B106&lt;=AF$22+ANALYSIS!$G$5,$C106&gt;=AF$23,$C106&lt;=AF$23+ANALYSIS!$G$6),1,0)</f>
        <v>0</v>
      </c>
      <c r="AX106">
        <v>0</v>
      </c>
      <c r="AY106">
        <f t="shared" si="29"/>
        <v>0</v>
      </c>
      <c r="AZ106">
        <f t="shared" si="30"/>
        <v>0</v>
      </c>
      <c r="BA106">
        <f t="shared" si="31"/>
        <v>0</v>
      </c>
      <c r="BB106">
        <f t="shared" si="32"/>
        <v>0</v>
      </c>
      <c r="BC106">
        <f t="shared" si="33"/>
        <v>0</v>
      </c>
      <c r="BD106">
        <f t="shared" si="34"/>
        <v>0</v>
      </c>
      <c r="BE106">
        <f t="shared" si="35"/>
        <v>0</v>
      </c>
      <c r="BF106">
        <f t="shared" si="36"/>
        <v>0</v>
      </c>
      <c r="BG106">
        <f t="shared" si="37"/>
        <v>0</v>
      </c>
      <c r="BH106">
        <f t="shared" si="38"/>
        <v>0</v>
      </c>
      <c r="BI106">
        <f t="shared" si="39"/>
        <v>0</v>
      </c>
      <c r="BJ106">
        <f t="shared" si="40"/>
        <v>0</v>
      </c>
      <c r="BK106">
        <f t="shared" si="41"/>
        <v>0</v>
      </c>
      <c r="BL106">
        <f t="shared" si="42"/>
        <v>0</v>
      </c>
      <c r="BM106">
        <f t="shared" si="43"/>
        <v>0</v>
      </c>
    </row>
    <row r="107" spans="1:65" x14ac:dyDescent="0.25">
      <c r="A107" s="41" t="str">
        <f>ANALYSIS!B113</f>
        <v>20-33</v>
      </c>
      <c r="B107" s="41">
        <f>ANALYSIS!E113</f>
        <v>55</v>
      </c>
      <c r="C107" s="41">
        <f>ANALYSIS!G113</f>
        <v>23.77</v>
      </c>
      <c r="D107" s="41">
        <f t="shared" si="28"/>
        <v>6</v>
      </c>
      <c r="R107" cm="1">
        <f t="array" ref="R107">IF(AX107&gt;0,0,SUMPRODUCT((AX$25:AX$124=0)*($B$25:$B$124&gt;=$B107)*($B$25:$B$124&lt;=$B107+ANALYSIS!$G$5)*($C$25:$C$124&gt;=$C107)*($C$25:$C$124&lt;=$C107+ANALYSIS!$G$6)))</f>
        <v>12</v>
      </c>
      <c r="S107" cm="1">
        <f t="array" ref="S107">IF(AY107&gt;0,0,SUMPRODUCT((AY$25:AY$124=0)*($B$25:$B$124&gt;=$B107)*($B$25:$B$124&lt;=$B107+ANALYSIS!$G$5)*($C$25:$C$124&gt;=$C107)*($C$25:$C$124&lt;=$C107+ANALYSIS!$G$6)))</f>
        <v>2</v>
      </c>
      <c r="T107" cm="1">
        <f t="array" ref="T107">IF(AZ107&gt;0,0,SUMPRODUCT((AZ$25:AZ$124=0)*($B$25:$B$124&gt;=$B107)*($B$25:$B$124&lt;=$B107+ANALYSIS!$G$5)*($C$25:$C$124&gt;=$C107)*($C$25:$C$124&lt;=$C107+ANALYSIS!$G$6)))</f>
        <v>2</v>
      </c>
      <c r="U107" cm="1">
        <f t="array" ref="U107">IF(BA107&gt;0,0,SUMPRODUCT((BA$25:BA$124=0)*($B$25:$B$124&gt;=$B107)*($B$25:$B$124&lt;=$B107+ANALYSIS!$G$5)*($C$25:$C$124&gt;=$C107)*($C$25:$C$124&lt;=$C107+ANALYSIS!$G$6)))</f>
        <v>2</v>
      </c>
      <c r="V107" cm="1">
        <f t="array" ref="V107">IF(BB107&gt;0,0,SUMPRODUCT((BB$25:BB$124=0)*($B$25:$B$124&gt;=$B107)*($B$25:$B$124&lt;=$B107+ANALYSIS!$G$5)*($C$25:$C$124&gt;=$C107)*($C$25:$C$124&lt;=$C107+ANALYSIS!$G$6)))</f>
        <v>2</v>
      </c>
      <c r="W107" cm="1">
        <f t="array" ref="W107">IF(BC107&gt;0,0,SUMPRODUCT((BC$25:BC$124=0)*($B$25:$B$124&gt;=$B107)*($B$25:$B$124&lt;=$B107+ANALYSIS!$G$5)*($C$25:$C$124&gt;=$C107)*($C$25:$C$124&lt;=$C107+ANALYSIS!$G$6)))</f>
        <v>2</v>
      </c>
      <c r="X107" cm="1">
        <f t="array" ref="X107">IF(BD107&gt;0,0,SUMPRODUCT((BD$25:BD$124=0)*($B$25:$B$124&gt;=$B107)*($B$25:$B$124&lt;=$B107+ANALYSIS!$G$5)*($C$25:$C$124&gt;=$C107)*($C$25:$C$124&lt;=$C107+ANALYSIS!$G$6)))</f>
        <v>0</v>
      </c>
      <c r="Y107" cm="1">
        <f t="array" ref="Y107">IF(BE107&gt;0,0,SUMPRODUCT((BE$25:BE$124=0)*($B$25:$B$124&gt;=$B107)*($B$25:$B$124&lt;=$B107+ANALYSIS!$G$5)*($C$25:$C$124&gt;=$C107)*($C$25:$C$124&lt;=$C107+ANALYSIS!$G$6)))</f>
        <v>0</v>
      </c>
      <c r="Z107" cm="1">
        <f t="array" ref="Z107">IF(BF107&gt;0,0,SUMPRODUCT((BF$25:BF$124=0)*($B$25:$B$124&gt;=$B107)*($B$25:$B$124&lt;=$B107+ANALYSIS!$G$5)*($C$25:$C$124&gt;=$C107)*($C$25:$C$124&lt;=$C107+ANALYSIS!$G$6)))</f>
        <v>0</v>
      </c>
      <c r="AA107" cm="1">
        <f t="array" ref="AA107">IF(BG107&gt;0,0,SUMPRODUCT((BG$25:BG$124=0)*($B$25:$B$124&gt;=$B107)*($B$25:$B$124&lt;=$B107+ANALYSIS!$G$5)*($C$25:$C$124&gt;=$C107)*($C$25:$C$124&lt;=$C107+ANALYSIS!$G$6)))</f>
        <v>0</v>
      </c>
      <c r="AB107" cm="1">
        <f t="array" ref="AB107">IF(BH107&gt;0,0,SUMPRODUCT((BH$25:BH$124=0)*($B$25:$B$124&gt;=$B107)*($B$25:$B$124&lt;=$B107+ANALYSIS!$G$5)*($C$25:$C$124&gt;=$C107)*($C$25:$C$124&lt;=$C107+ANALYSIS!$G$6)))</f>
        <v>0</v>
      </c>
      <c r="AC107" cm="1">
        <f t="array" ref="AC107">IF(BI107&gt;0,0,SUMPRODUCT((BI$25:BI$124=0)*($B$25:$B$124&gt;=$B107)*($B$25:$B$124&lt;=$B107+ANALYSIS!$G$5)*($C$25:$C$124&gt;=$C107)*($C$25:$C$124&lt;=$C107+ANALYSIS!$G$6)))</f>
        <v>0</v>
      </c>
      <c r="AD107" cm="1">
        <f t="array" ref="AD107">IF(BJ107&gt;0,0,SUMPRODUCT((BJ$25:BJ$124=0)*($B$25:$B$124&gt;=$B107)*($B$25:$B$124&lt;=$B107+ANALYSIS!$G$5)*($C$25:$C$124&gt;=$C107)*($C$25:$C$124&lt;=$C107+ANALYSIS!$G$6)))</f>
        <v>0</v>
      </c>
      <c r="AE107" cm="1">
        <f t="array" ref="AE107">IF(BK107&gt;0,0,SUMPRODUCT((BK$25:BK$124=0)*($B$25:$B$124&gt;=$B107)*($B$25:$B$124&lt;=$B107+ANALYSIS!$G$5)*($C$25:$C$124&gt;=$C107)*($C$25:$C$124&lt;=$C107+ANALYSIS!$G$6)))</f>
        <v>0</v>
      </c>
      <c r="AF107" cm="1">
        <f t="array" ref="AF107">IF(BL107&gt;0,0,SUMPRODUCT((BL$25:BL$124=0)*($B$25:$B$124&gt;=$B107)*($B$25:$B$124&lt;=$B107+ANALYSIS!$G$5)*($C$25:$C$124&gt;=$C107)*($C$25:$C$124&lt;=$C107+ANALYSIS!$G$6)))</f>
        <v>0</v>
      </c>
      <c r="AH107">
        <f>IF(AND(AX107=0,$B107&gt;=R$22,$B107&lt;=R$22+ANALYSIS!$G$5,$C107&gt;=R$23,$C107&lt;=R$23+ANALYSIS!$G$6),1,0)</f>
        <v>0</v>
      </c>
      <c r="AI107">
        <f>IF(AND(AY107=0,$B107&gt;=S$22,$B107&lt;=S$22+ANALYSIS!$G$5,$C107&gt;=S$23,$C107&lt;=S$23+ANALYSIS!$G$6),1,0)</f>
        <v>0</v>
      </c>
      <c r="AJ107">
        <f>IF(AND(AZ107=0,$B107&gt;=T$22,$B107&lt;=T$22+ANALYSIS!$G$5,$C107&gt;=T$23,$C107&lt;=T$23+ANALYSIS!$G$6),1,0)</f>
        <v>0</v>
      </c>
      <c r="AK107">
        <f>IF(AND(BA107=0,$B107&gt;=U$22,$B107&lt;=U$22+ANALYSIS!$G$5,$C107&gt;=U$23,$C107&lt;=U$23+ANALYSIS!$G$6),1,0)</f>
        <v>0</v>
      </c>
      <c r="AL107">
        <f>IF(AND(BB107=0,$B107&gt;=V$22,$B107&lt;=V$22+ANALYSIS!$G$5,$C107&gt;=V$23,$C107&lt;=V$23+ANALYSIS!$G$6),1,0)</f>
        <v>0</v>
      </c>
      <c r="AM107">
        <f>IF(AND(BC107=0,$B107&gt;=W$22,$B107&lt;=W$22+ANALYSIS!$G$5,$C107&gt;=W$23,$C107&lt;=W$23+ANALYSIS!$G$6),1,0)</f>
        <v>1</v>
      </c>
      <c r="AN107">
        <f>IF(AND(BD107=0,$B107&gt;=X$22,$B107&lt;=X$22+ANALYSIS!$G$5,$C107&gt;=X$23,$C107&lt;=X$23+ANALYSIS!$G$6),1,0)</f>
        <v>0</v>
      </c>
      <c r="AO107">
        <f>IF(AND(BE107=0,$B107&gt;=Y$22,$B107&lt;=Y$22+ANALYSIS!$G$5,$C107&gt;=Y$23,$C107&lt;=Y$23+ANALYSIS!$G$6),1,0)</f>
        <v>0</v>
      </c>
      <c r="AP107">
        <f>IF(AND(BF107=0,$B107&gt;=Z$22,$B107&lt;=Z$22+ANALYSIS!$G$5,$C107&gt;=Z$23,$C107&lt;=Z$23+ANALYSIS!$G$6),1,0)</f>
        <v>0</v>
      </c>
      <c r="AQ107">
        <f>IF(AND(BG107=0,$B107&gt;=AA$22,$B107&lt;=AA$22+ANALYSIS!$G$5,$C107&gt;=AA$23,$C107&lt;=AA$23+ANALYSIS!$G$6),1,0)</f>
        <v>0</v>
      </c>
      <c r="AR107">
        <f>IF(AND(BH107=0,$B107&gt;=AB$22,$B107&lt;=AB$22+ANALYSIS!$G$5,$C107&gt;=AB$23,$C107&lt;=AB$23+ANALYSIS!$G$6),1,0)</f>
        <v>0</v>
      </c>
      <c r="AS107">
        <f>IF(AND(BI107=0,$B107&gt;=AC$22,$B107&lt;=AC$22+ANALYSIS!$G$5,$C107&gt;=AC$23,$C107&lt;=AC$23+ANALYSIS!$G$6),1,0)</f>
        <v>0</v>
      </c>
      <c r="AT107">
        <f>IF(AND(BJ107=0,$B107&gt;=AD$22,$B107&lt;=AD$22+ANALYSIS!$G$5,$C107&gt;=AD$23,$C107&lt;=AD$23+ANALYSIS!$G$6),1,0)</f>
        <v>0</v>
      </c>
      <c r="AU107">
        <f>IF(AND(BK107=0,$B107&gt;=AE$22,$B107&lt;=AE$22+ANALYSIS!$G$5,$C107&gt;=AE$23,$C107&lt;=AE$23+ANALYSIS!$G$6),1,0)</f>
        <v>0</v>
      </c>
      <c r="AV107">
        <f>IF(AND(BL107=0,$B107&gt;=AF$22,$B107&lt;=AF$22+ANALYSIS!$G$5,$C107&gt;=AF$23,$C107&lt;=AF$23+ANALYSIS!$G$6),1,0)</f>
        <v>0</v>
      </c>
      <c r="AX107">
        <v>0</v>
      </c>
      <c r="AY107">
        <f t="shared" si="29"/>
        <v>0</v>
      </c>
      <c r="AZ107">
        <f t="shared" si="30"/>
        <v>0</v>
      </c>
      <c r="BA107">
        <f t="shared" si="31"/>
        <v>0</v>
      </c>
      <c r="BB107">
        <f t="shared" si="32"/>
        <v>0</v>
      </c>
      <c r="BC107">
        <f t="shared" si="33"/>
        <v>0</v>
      </c>
      <c r="BD107">
        <f t="shared" si="34"/>
        <v>1</v>
      </c>
      <c r="BE107">
        <f t="shared" si="35"/>
        <v>1</v>
      </c>
      <c r="BF107">
        <f t="shared" si="36"/>
        <v>1</v>
      </c>
      <c r="BG107">
        <f t="shared" si="37"/>
        <v>1</v>
      </c>
      <c r="BH107">
        <f t="shared" si="38"/>
        <v>1</v>
      </c>
      <c r="BI107">
        <f t="shared" si="39"/>
        <v>1</v>
      </c>
      <c r="BJ107">
        <f t="shared" si="40"/>
        <v>1</v>
      </c>
      <c r="BK107">
        <f t="shared" si="41"/>
        <v>1</v>
      </c>
      <c r="BL107">
        <f t="shared" si="42"/>
        <v>1</v>
      </c>
      <c r="BM107">
        <f t="shared" si="43"/>
        <v>1</v>
      </c>
    </row>
    <row r="108" spans="1:65" x14ac:dyDescent="0.25">
      <c r="A108" s="41" t="str">
        <f>ANALYSIS!B114</f>
        <v>20-34</v>
      </c>
      <c r="B108" s="41">
        <f>ANALYSIS!E114</f>
        <v>58.5</v>
      </c>
      <c r="C108" s="41">
        <f>ANALYSIS!G114</f>
        <v>25.22</v>
      </c>
      <c r="D108" s="41" t="str">
        <f t="shared" si="28"/>
        <v/>
      </c>
      <c r="R108" cm="1">
        <f t="array" ref="R108">IF(AX108&gt;0,0,SUMPRODUCT((AX$25:AX$124=0)*($B$25:$B$124&gt;=$B108)*($B$25:$B$124&lt;=$B108+ANALYSIS!$G$5)*($C$25:$C$124&gt;=$C108)*($C$25:$C$124&lt;=$C108+ANALYSIS!$G$6)))</f>
        <v>2</v>
      </c>
      <c r="S108" cm="1">
        <f t="array" ref="S108">IF(AY108&gt;0,0,SUMPRODUCT((AY$25:AY$124=0)*($B$25:$B$124&gt;=$B108)*($B$25:$B$124&lt;=$B108+ANALYSIS!$G$5)*($C$25:$C$124&gt;=$C108)*($C$25:$C$124&lt;=$C108+ANALYSIS!$G$6)))</f>
        <v>2</v>
      </c>
      <c r="T108" cm="1">
        <f t="array" ref="T108">IF(AZ108&gt;0,0,SUMPRODUCT((AZ$25:AZ$124=0)*($B$25:$B$124&gt;=$B108)*($B$25:$B$124&lt;=$B108+ANALYSIS!$G$5)*($C$25:$C$124&gt;=$C108)*($C$25:$C$124&lt;=$C108+ANALYSIS!$G$6)))</f>
        <v>2</v>
      </c>
      <c r="U108" cm="1">
        <f t="array" ref="U108">IF(BA108&gt;0,0,SUMPRODUCT((BA$25:BA$124=0)*($B$25:$B$124&gt;=$B108)*($B$25:$B$124&lt;=$B108+ANALYSIS!$G$5)*($C$25:$C$124&gt;=$C108)*($C$25:$C$124&lt;=$C108+ANALYSIS!$G$6)))</f>
        <v>2</v>
      </c>
      <c r="V108" cm="1">
        <f t="array" ref="V108">IF(BB108&gt;0,0,SUMPRODUCT((BB$25:BB$124=0)*($B$25:$B$124&gt;=$B108)*($B$25:$B$124&lt;=$B108+ANALYSIS!$G$5)*($C$25:$C$124&gt;=$C108)*($C$25:$C$124&lt;=$C108+ANALYSIS!$G$6)))</f>
        <v>2</v>
      </c>
      <c r="W108" cm="1">
        <f t="array" ref="W108">IF(BC108&gt;0,0,SUMPRODUCT((BC$25:BC$124=0)*($B$25:$B$124&gt;=$B108)*($B$25:$B$124&lt;=$B108+ANALYSIS!$G$5)*($C$25:$C$124&gt;=$C108)*($C$25:$C$124&lt;=$C108+ANALYSIS!$G$6)))</f>
        <v>2</v>
      </c>
      <c r="X108" cm="1">
        <f t="array" ref="X108">IF(BD108&gt;0,0,SUMPRODUCT((BD$25:BD$124=0)*($B$25:$B$124&gt;=$B108)*($B$25:$B$124&lt;=$B108+ANALYSIS!$G$5)*($C$25:$C$124&gt;=$C108)*($C$25:$C$124&lt;=$C108+ANALYSIS!$G$6)))</f>
        <v>2</v>
      </c>
      <c r="Y108" cm="1">
        <f t="array" ref="Y108">IF(BE108&gt;0,0,SUMPRODUCT((BE$25:BE$124=0)*($B$25:$B$124&gt;=$B108)*($B$25:$B$124&lt;=$B108+ANALYSIS!$G$5)*($C$25:$C$124&gt;=$C108)*($C$25:$C$124&lt;=$C108+ANALYSIS!$G$6)))</f>
        <v>2</v>
      </c>
      <c r="Z108" cm="1">
        <f t="array" ref="Z108">IF(BF108&gt;0,0,SUMPRODUCT((BF$25:BF$124=0)*($B$25:$B$124&gt;=$B108)*($B$25:$B$124&lt;=$B108+ANALYSIS!$G$5)*($C$25:$C$124&gt;=$C108)*($C$25:$C$124&lt;=$C108+ANALYSIS!$G$6)))</f>
        <v>2</v>
      </c>
      <c r="AA108" cm="1">
        <f t="array" ref="AA108">IF(BG108&gt;0,0,SUMPRODUCT((BG$25:BG$124=0)*($B$25:$B$124&gt;=$B108)*($B$25:$B$124&lt;=$B108+ANALYSIS!$G$5)*($C$25:$C$124&gt;=$C108)*($C$25:$C$124&lt;=$C108+ANALYSIS!$G$6)))</f>
        <v>2</v>
      </c>
      <c r="AB108" cm="1">
        <f t="array" ref="AB108">IF(BH108&gt;0,0,SUMPRODUCT((BH$25:BH$124=0)*($B$25:$B$124&gt;=$B108)*($B$25:$B$124&lt;=$B108+ANALYSIS!$G$5)*($C$25:$C$124&gt;=$C108)*($C$25:$C$124&lt;=$C108+ANALYSIS!$G$6)))</f>
        <v>2</v>
      </c>
      <c r="AC108" cm="1">
        <f t="array" ref="AC108">IF(BI108&gt;0,0,SUMPRODUCT((BI$25:BI$124=0)*($B$25:$B$124&gt;=$B108)*($B$25:$B$124&lt;=$B108+ANALYSIS!$G$5)*($C$25:$C$124&gt;=$C108)*($C$25:$C$124&lt;=$C108+ANALYSIS!$G$6)))</f>
        <v>2</v>
      </c>
      <c r="AD108" cm="1">
        <f t="array" ref="AD108">IF(BJ108&gt;0,0,SUMPRODUCT((BJ$25:BJ$124=0)*($B$25:$B$124&gt;=$B108)*($B$25:$B$124&lt;=$B108+ANALYSIS!$G$5)*($C$25:$C$124&gt;=$C108)*($C$25:$C$124&lt;=$C108+ANALYSIS!$G$6)))</f>
        <v>2</v>
      </c>
      <c r="AE108" cm="1">
        <f t="array" ref="AE108">IF(BK108&gt;0,0,SUMPRODUCT((BK$25:BK$124=0)*($B$25:$B$124&gt;=$B108)*($B$25:$B$124&lt;=$B108+ANALYSIS!$G$5)*($C$25:$C$124&gt;=$C108)*($C$25:$C$124&lt;=$C108+ANALYSIS!$G$6)))</f>
        <v>2</v>
      </c>
      <c r="AF108" cm="1">
        <f t="array" ref="AF108">IF(BL108&gt;0,0,SUMPRODUCT((BL$25:BL$124=0)*($B$25:$B$124&gt;=$B108)*($B$25:$B$124&lt;=$B108+ANALYSIS!$G$5)*($C$25:$C$124&gt;=$C108)*($C$25:$C$124&lt;=$C108+ANALYSIS!$G$6)))</f>
        <v>2</v>
      </c>
      <c r="AH108">
        <f>IF(AND(AX108=0,$B108&gt;=R$22,$B108&lt;=R$22+ANALYSIS!$G$5,$C108&gt;=R$23,$C108&lt;=R$23+ANALYSIS!$G$6),1,0)</f>
        <v>0</v>
      </c>
      <c r="AI108">
        <f>IF(AND(AY108=0,$B108&gt;=S$22,$B108&lt;=S$22+ANALYSIS!$G$5,$C108&gt;=S$23,$C108&lt;=S$23+ANALYSIS!$G$6),1,0)</f>
        <v>0</v>
      </c>
      <c r="AJ108">
        <f>IF(AND(AZ108=0,$B108&gt;=T$22,$B108&lt;=T$22+ANALYSIS!$G$5,$C108&gt;=T$23,$C108&lt;=T$23+ANALYSIS!$G$6),1,0)</f>
        <v>0</v>
      </c>
      <c r="AK108">
        <f>IF(AND(BA108=0,$B108&gt;=U$22,$B108&lt;=U$22+ANALYSIS!$G$5,$C108&gt;=U$23,$C108&lt;=U$23+ANALYSIS!$G$6),1,0)</f>
        <v>0</v>
      </c>
      <c r="AL108">
        <f>IF(AND(BB108=0,$B108&gt;=V$22,$B108&lt;=V$22+ANALYSIS!$G$5,$C108&gt;=V$23,$C108&lt;=V$23+ANALYSIS!$G$6),1,0)</f>
        <v>0</v>
      </c>
      <c r="AM108">
        <f>IF(AND(BC108=0,$B108&gt;=W$22,$B108&lt;=W$22+ANALYSIS!$G$5,$C108&gt;=W$23,$C108&lt;=W$23+ANALYSIS!$G$6),1,0)</f>
        <v>0</v>
      </c>
      <c r="AN108">
        <f>IF(AND(BD108=0,$B108&gt;=X$22,$B108&lt;=X$22+ANALYSIS!$G$5,$C108&gt;=X$23,$C108&lt;=X$23+ANALYSIS!$G$6),1,0)</f>
        <v>0</v>
      </c>
      <c r="AO108">
        <f>IF(AND(BE108=0,$B108&gt;=Y$22,$B108&lt;=Y$22+ANALYSIS!$G$5,$C108&gt;=Y$23,$C108&lt;=Y$23+ANALYSIS!$G$6),1,0)</f>
        <v>0</v>
      </c>
      <c r="AP108">
        <f>IF(AND(BF108=0,$B108&gt;=Z$22,$B108&lt;=Z$22+ANALYSIS!$G$5,$C108&gt;=Z$23,$C108&lt;=Z$23+ANALYSIS!$G$6),1,0)</f>
        <v>0</v>
      </c>
      <c r="AQ108">
        <f>IF(AND(BG108=0,$B108&gt;=AA$22,$B108&lt;=AA$22+ANALYSIS!$G$5,$C108&gt;=AA$23,$C108&lt;=AA$23+ANALYSIS!$G$6),1,0)</f>
        <v>0</v>
      </c>
      <c r="AR108">
        <f>IF(AND(BH108=0,$B108&gt;=AB$22,$B108&lt;=AB$22+ANALYSIS!$G$5,$C108&gt;=AB$23,$C108&lt;=AB$23+ANALYSIS!$G$6),1,0)</f>
        <v>0</v>
      </c>
      <c r="AS108">
        <f>IF(AND(BI108=0,$B108&gt;=AC$22,$B108&lt;=AC$22+ANALYSIS!$G$5,$C108&gt;=AC$23,$C108&lt;=AC$23+ANALYSIS!$G$6),1,0)</f>
        <v>0</v>
      </c>
      <c r="AT108">
        <f>IF(AND(BJ108=0,$B108&gt;=AD$22,$B108&lt;=AD$22+ANALYSIS!$G$5,$C108&gt;=AD$23,$C108&lt;=AD$23+ANALYSIS!$G$6),1,0)</f>
        <v>0</v>
      </c>
      <c r="AU108">
        <f>IF(AND(BK108=0,$B108&gt;=AE$22,$B108&lt;=AE$22+ANALYSIS!$G$5,$C108&gt;=AE$23,$C108&lt;=AE$23+ANALYSIS!$G$6),1,0)</f>
        <v>0</v>
      </c>
      <c r="AV108">
        <f>IF(AND(BL108=0,$B108&gt;=AF$22,$B108&lt;=AF$22+ANALYSIS!$G$5,$C108&gt;=AF$23,$C108&lt;=AF$23+ANALYSIS!$G$6),1,0)</f>
        <v>0</v>
      </c>
      <c r="AX108">
        <v>0</v>
      </c>
      <c r="AY108">
        <f t="shared" si="29"/>
        <v>0</v>
      </c>
      <c r="AZ108">
        <f t="shared" si="30"/>
        <v>0</v>
      </c>
      <c r="BA108">
        <f t="shared" si="31"/>
        <v>0</v>
      </c>
      <c r="BB108">
        <f t="shared" si="32"/>
        <v>0</v>
      </c>
      <c r="BC108">
        <f t="shared" si="33"/>
        <v>0</v>
      </c>
      <c r="BD108">
        <f t="shared" si="34"/>
        <v>0</v>
      </c>
      <c r="BE108">
        <f t="shared" si="35"/>
        <v>0</v>
      </c>
      <c r="BF108">
        <f t="shared" si="36"/>
        <v>0</v>
      </c>
      <c r="BG108">
        <f t="shared" si="37"/>
        <v>0</v>
      </c>
      <c r="BH108">
        <f t="shared" si="38"/>
        <v>0</v>
      </c>
      <c r="BI108">
        <f t="shared" si="39"/>
        <v>0</v>
      </c>
      <c r="BJ108">
        <f t="shared" si="40"/>
        <v>0</v>
      </c>
      <c r="BK108">
        <f t="shared" si="41"/>
        <v>0</v>
      </c>
      <c r="BL108">
        <f t="shared" si="42"/>
        <v>0</v>
      </c>
      <c r="BM108">
        <f t="shared" si="43"/>
        <v>0</v>
      </c>
    </row>
    <row r="109" spans="1:65" x14ac:dyDescent="0.25">
      <c r="A109" s="41" t="str">
        <f>ANALYSIS!B115</f>
        <v>20-35</v>
      </c>
      <c r="B109" s="41">
        <f>ANALYSIS!E115</f>
        <v>56</v>
      </c>
      <c r="C109" s="41">
        <f>ANALYSIS!G115</f>
        <v>23.89</v>
      </c>
      <c r="D109" s="41">
        <f t="shared" si="28"/>
        <v>1</v>
      </c>
      <c r="R109" cm="1">
        <f t="array" ref="R109">IF(AX109&gt;0,0,SUMPRODUCT((AX$25:AX$124=0)*($B$25:$B$124&gt;=$B109)*($B$25:$B$124&lt;=$B109+ANALYSIS!$G$5)*($C$25:$C$124&gt;=$C109)*($C$25:$C$124&lt;=$C109+ANALYSIS!$G$6)))</f>
        <v>7</v>
      </c>
      <c r="S109" cm="1">
        <f t="array" ref="S109">IF(AY109&gt;0,0,SUMPRODUCT((AY$25:AY$124=0)*($B$25:$B$124&gt;=$B109)*($B$25:$B$124&lt;=$B109+ANALYSIS!$G$5)*($C$25:$C$124&gt;=$C109)*($C$25:$C$124&lt;=$C109+ANALYSIS!$G$6)))</f>
        <v>0</v>
      </c>
      <c r="T109" cm="1">
        <f t="array" ref="T109">IF(AZ109&gt;0,0,SUMPRODUCT((AZ$25:AZ$124=0)*($B$25:$B$124&gt;=$B109)*($B$25:$B$124&lt;=$B109+ANALYSIS!$G$5)*($C$25:$C$124&gt;=$C109)*($C$25:$C$124&lt;=$C109+ANALYSIS!$G$6)))</f>
        <v>0</v>
      </c>
      <c r="U109" cm="1">
        <f t="array" ref="U109">IF(BA109&gt;0,0,SUMPRODUCT((BA$25:BA$124=0)*($B$25:$B$124&gt;=$B109)*($B$25:$B$124&lt;=$B109+ANALYSIS!$G$5)*($C$25:$C$124&gt;=$C109)*($C$25:$C$124&lt;=$C109+ANALYSIS!$G$6)))</f>
        <v>0</v>
      </c>
      <c r="V109" cm="1">
        <f t="array" ref="V109">IF(BB109&gt;0,0,SUMPRODUCT((BB$25:BB$124=0)*($B$25:$B$124&gt;=$B109)*($B$25:$B$124&lt;=$B109+ANALYSIS!$G$5)*($C$25:$C$124&gt;=$C109)*($C$25:$C$124&lt;=$C109+ANALYSIS!$G$6)))</f>
        <v>0</v>
      </c>
      <c r="W109" cm="1">
        <f t="array" ref="W109">IF(BC109&gt;0,0,SUMPRODUCT((BC$25:BC$124=0)*($B$25:$B$124&gt;=$B109)*($B$25:$B$124&lt;=$B109+ANALYSIS!$G$5)*($C$25:$C$124&gt;=$C109)*($C$25:$C$124&lt;=$C109+ANALYSIS!$G$6)))</f>
        <v>0</v>
      </c>
      <c r="X109" cm="1">
        <f t="array" ref="X109">IF(BD109&gt;0,0,SUMPRODUCT((BD$25:BD$124=0)*($B$25:$B$124&gt;=$B109)*($B$25:$B$124&lt;=$B109+ANALYSIS!$G$5)*($C$25:$C$124&gt;=$C109)*($C$25:$C$124&lt;=$C109+ANALYSIS!$G$6)))</f>
        <v>0</v>
      </c>
      <c r="Y109" cm="1">
        <f t="array" ref="Y109">IF(BE109&gt;0,0,SUMPRODUCT((BE$25:BE$124=0)*($B$25:$B$124&gt;=$B109)*($B$25:$B$124&lt;=$B109+ANALYSIS!$G$5)*($C$25:$C$124&gt;=$C109)*($C$25:$C$124&lt;=$C109+ANALYSIS!$G$6)))</f>
        <v>0</v>
      </c>
      <c r="Z109" cm="1">
        <f t="array" ref="Z109">IF(BF109&gt;0,0,SUMPRODUCT((BF$25:BF$124=0)*($B$25:$B$124&gt;=$B109)*($B$25:$B$124&lt;=$B109+ANALYSIS!$G$5)*($C$25:$C$124&gt;=$C109)*($C$25:$C$124&lt;=$C109+ANALYSIS!$G$6)))</f>
        <v>0</v>
      </c>
      <c r="AA109" cm="1">
        <f t="array" ref="AA109">IF(BG109&gt;0,0,SUMPRODUCT((BG$25:BG$124=0)*($B$25:$B$124&gt;=$B109)*($B$25:$B$124&lt;=$B109+ANALYSIS!$G$5)*($C$25:$C$124&gt;=$C109)*($C$25:$C$124&lt;=$C109+ANALYSIS!$G$6)))</f>
        <v>0</v>
      </c>
      <c r="AB109" cm="1">
        <f t="array" ref="AB109">IF(BH109&gt;0,0,SUMPRODUCT((BH$25:BH$124=0)*($B$25:$B$124&gt;=$B109)*($B$25:$B$124&lt;=$B109+ANALYSIS!$G$5)*($C$25:$C$124&gt;=$C109)*($C$25:$C$124&lt;=$C109+ANALYSIS!$G$6)))</f>
        <v>0</v>
      </c>
      <c r="AC109" cm="1">
        <f t="array" ref="AC109">IF(BI109&gt;0,0,SUMPRODUCT((BI$25:BI$124=0)*($B$25:$B$124&gt;=$B109)*($B$25:$B$124&lt;=$B109+ANALYSIS!$G$5)*($C$25:$C$124&gt;=$C109)*($C$25:$C$124&lt;=$C109+ANALYSIS!$G$6)))</f>
        <v>0</v>
      </c>
      <c r="AD109" cm="1">
        <f t="array" ref="AD109">IF(BJ109&gt;0,0,SUMPRODUCT((BJ$25:BJ$124=0)*($B$25:$B$124&gt;=$B109)*($B$25:$B$124&lt;=$B109+ANALYSIS!$G$5)*($C$25:$C$124&gt;=$C109)*($C$25:$C$124&lt;=$C109+ANALYSIS!$G$6)))</f>
        <v>0</v>
      </c>
      <c r="AE109" cm="1">
        <f t="array" ref="AE109">IF(BK109&gt;0,0,SUMPRODUCT((BK$25:BK$124=0)*($B$25:$B$124&gt;=$B109)*($B$25:$B$124&lt;=$B109+ANALYSIS!$G$5)*($C$25:$C$124&gt;=$C109)*($C$25:$C$124&lt;=$C109+ANALYSIS!$G$6)))</f>
        <v>0</v>
      </c>
      <c r="AF109" cm="1">
        <f t="array" ref="AF109">IF(BL109&gt;0,0,SUMPRODUCT((BL$25:BL$124=0)*($B$25:$B$124&gt;=$B109)*($B$25:$B$124&lt;=$B109+ANALYSIS!$G$5)*($C$25:$C$124&gt;=$C109)*($C$25:$C$124&lt;=$C109+ANALYSIS!$G$6)))</f>
        <v>0</v>
      </c>
      <c r="AH109">
        <f>IF(AND(AX109=0,$B109&gt;=R$22,$B109&lt;=R$22+ANALYSIS!$G$5,$C109&gt;=R$23,$C109&lt;=R$23+ANALYSIS!$G$6),1,0)</f>
        <v>1</v>
      </c>
      <c r="AI109">
        <f>IF(AND(AY109=0,$B109&gt;=S$22,$B109&lt;=S$22+ANALYSIS!$G$5,$C109&gt;=S$23,$C109&lt;=S$23+ANALYSIS!$G$6),1,0)</f>
        <v>0</v>
      </c>
      <c r="AJ109">
        <f>IF(AND(AZ109=0,$B109&gt;=T$22,$B109&lt;=T$22+ANALYSIS!$G$5,$C109&gt;=T$23,$C109&lt;=T$23+ANALYSIS!$G$6),1,0)</f>
        <v>0</v>
      </c>
      <c r="AK109">
        <f>IF(AND(BA109=0,$B109&gt;=U$22,$B109&lt;=U$22+ANALYSIS!$G$5,$C109&gt;=U$23,$C109&lt;=U$23+ANALYSIS!$G$6),1,0)</f>
        <v>0</v>
      </c>
      <c r="AL109">
        <f>IF(AND(BB109=0,$B109&gt;=V$22,$B109&lt;=V$22+ANALYSIS!$G$5,$C109&gt;=V$23,$C109&lt;=V$23+ANALYSIS!$G$6),1,0)</f>
        <v>0</v>
      </c>
      <c r="AM109">
        <f>IF(AND(BC109=0,$B109&gt;=W$22,$B109&lt;=W$22+ANALYSIS!$G$5,$C109&gt;=W$23,$C109&lt;=W$23+ANALYSIS!$G$6),1,0)</f>
        <v>0</v>
      </c>
      <c r="AN109">
        <f>IF(AND(BD109=0,$B109&gt;=X$22,$B109&lt;=X$22+ANALYSIS!$G$5,$C109&gt;=X$23,$C109&lt;=X$23+ANALYSIS!$G$6),1,0)</f>
        <v>0</v>
      </c>
      <c r="AO109">
        <f>IF(AND(BE109=0,$B109&gt;=Y$22,$B109&lt;=Y$22+ANALYSIS!$G$5,$C109&gt;=Y$23,$C109&lt;=Y$23+ANALYSIS!$G$6),1,0)</f>
        <v>0</v>
      </c>
      <c r="AP109">
        <f>IF(AND(BF109=0,$B109&gt;=Z$22,$B109&lt;=Z$22+ANALYSIS!$G$5,$C109&gt;=Z$23,$C109&lt;=Z$23+ANALYSIS!$G$6),1,0)</f>
        <v>0</v>
      </c>
      <c r="AQ109">
        <f>IF(AND(BG109=0,$B109&gt;=AA$22,$B109&lt;=AA$22+ANALYSIS!$G$5,$C109&gt;=AA$23,$C109&lt;=AA$23+ANALYSIS!$G$6),1,0)</f>
        <v>0</v>
      </c>
      <c r="AR109">
        <f>IF(AND(BH109=0,$B109&gt;=AB$22,$B109&lt;=AB$22+ANALYSIS!$G$5,$C109&gt;=AB$23,$C109&lt;=AB$23+ANALYSIS!$G$6),1,0)</f>
        <v>0</v>
      </c>
      <c r="AS109">
        <f>IF(AND(BI109=0,$B109&gt;=AC$22,$B109&lt;=AC$22+ANALYSIS!$G$5,$C109&gt;=AC$23,$C109&lt;=AC$23+ANALYSIS!$G$6),1,0)</f>
        <v>0</v>
      </c>
      <c r="AT109">
        <f>IF(AND(BJ109=0,$B109&gt;=AD$22,$B109&lt;=AD$22+ANALYSIS!$G$5,$C109&gt;=AD$23,$C109&lt;=AD$23+ANALYSIS!$G$6),1,0)</f>
        <v>0</v>
      </c>
      <c r="AU109">
        <f>IF(AND(BK109=0,$B109&gt;=AE$22,$B109&lt;=AE$22+ANALYSIS!$G$5,$C109&gt;=AE$23,$C109&lt;=AE$23+ANALYSIS!$G$6),1,0)</f>
        <v>0</v>
      </c>
      <c r="AV109">
        <f>IF(AND(BL109=0,$B109&gt;=AF$22,$B109&lt;=AF$22+ANALYSIS!$G$5,$C109&gt;=AF$23,$C109&lt;=AF$23+ANALYSIS!$G$6),1,0)</f>
        <v>0</v>
      </c>
      <c r="AX109">
        <v>0</v>
      </c>
      <c r="AY109">
        <f t="shared" si="29"/>
        <v>1</v>
      </c>
      <c r="AZ109">
        <f t="shared" si="30"/>
        <v>1</v>
      </c>
      <c r="BA109">
        <f t="shared" si="31"/>
        <v>1</v>
      </c>
      <c r="BB109">
        <f t="shared" si="32"/>
        <v>1</v>
      </c>
      <c r="BC109">
        <f t="shared" si="33"/>
        <v>1</v>
      </c>
      <c r="BD109">
        <f t="shared" si="34"/>
        <v>1</v>
      </c>
      <c r="BE109">
        <f t="shared" si="35"/>
        <v>1</v>
      </c>
      <c r="BF109">
        <f t="shared" si="36"/>
        <v>1</v>
      </c>
      <c r="BG109">
        <f t="shared" si="37"/>
        <v>1</v>
      </c>
      <c r="BH109">
        <f t="shared" si="38"/>
        <v>1</v>
      </c>
      <c r="BI109">
        <f t="shared" si="39"/>
        <v>1</v>
      </c>
      <c r="BJ109">
        <f t="shared" si="40"/>
        <v>1</v>
      </c>
      <c r="BK109">
        <f t="shared" si="41"/>
        <v>1</v>
      </c>
      <c r="BL109">
        <f t="shared" si="42"/>
        <v>1</v>
      </c>
      <c r="BM109">
        <f t="shared" si="43"/>
        <v>1</v>
      </c>
    </row>
    <row r="110" spans="1:65" x14ac:dyDescent="0.25">
      <c r="A110" s="41" t="str">
        <f>ANALYSIS!B116</f>
        <v>20-36</v>
      </c>
      <c r="B110" s="41">
        <f>ANALYSIS!E116</f>
        <v>55</v>
      </c>
      <c r="C110" s="41">
        <f>ANALYSIS!G116</f>
        <v>22.62</v>
      </c>
      <c r="D110" s="41">
        <f t="shared" si="28"/>
        <v>7</v>
      </c>
      <c r="R110" cm="1">
        <f t="array" ref="R110">IF(AX110&gt;0,0,SUMPRODUCT((AX$25:AX$124=0)*($B$25:$B$124&gt;=$B110)*($B$25:$B$124&lt;=$B110+ANALYSIS!$G$5)*($C$25:$C$124&gt;=$C110)*($C$25:$C$124&lt;=$C110+ANALYSIS!$G$6)))</f>
        <v>7</v>
      </c>
      <c r="S110" cm="1">
        <f t="array" ref="S110">IF(AY110&gt;0,0,SUMPRODUCT((AY$25:AY$124=0)*($B$25:$B$124&gt;=$B110)*($B$25:$B$124&lt;=$B110+ANALYSIS!$G$5)*($C$25:$C$124&gt;=$C110)*($C$25:$C$124&lt;=$C110+ANALYSIS!$G$6)))</f>
        <v>7</v>
      </c>
      <c r="T110" cm="1">
        <f t="array" ref="T110">IF(AZ110&gt;0,0,SUMPRODUCT((AZ$25:AZ$124=0)*($B$25:$B$124&gt;=$B110)*($B$25:$B$124&lt;=$B110+ANALYSIS!$G$5)*($C$25:$C$124&gt;=$C110)*($C$25:$C$124&lt;=$C110+ANALYSIS!$G$6)))</f>
        <v>6</v>
      </c>
      <c r="U110" cm="1">
        <f t="array" ref="U110">IF(BA110&gt;0,0,SUMPRODUCT((BA$25:BA$124=0)*($B$25:$B$124&gt;=$B110)*($B$25:$B$124&lt;=$B110+ANALYSIS!$G$5)*($C$25:$C$124&gt;=$C110)*($C$25:$C$124&lt;=$C110+ANALYSIS!$G$6)))</f>
        <v>6</v>
      </c>
      <c r="V110" cm="1">
        <f t="array" ref="V110">IF(BB110&gt;0,0,SUMPRODUCT((BB$25:BB$124=0)*($B$25:$B$124&gt;=$B110)*($B$25:$B$124&lt;=$B110+ANALYSIS!$G$5)*($C$25:$C$124&gt;=$C110)*($C$25:$C$124&lt;=$C110+ANALYSIS!$G$6)))</f>
        <v>6</v>
      </c>
      <c r="W110" cm="1">
        <f t="array" ref="W110">IF(BC110&gt;0,0,SUMPRODUCT((BC$25:BC$124=0)*($B$25:$B$124&gt;=$B110)*($B$25:$B$124&lt;=$B110+ANALYSIS!$G$5)*($C$25:$C$124&gt;=$C110)*($C$25:$C$124&lt;=$C110+ANALYSIS!$G$6)))</f>
        <v>6</v>
      </c>
      <c r="X110" cm="1">
        <f t="array" ref="X110">IF(BD110&gt;0,0,SUMPRODUCT((BD$25:BD$124=0)*($B$25:$B$124&gt;=$B110)*($B$25:$B$124&lt;=$B110+ANALYSIS!$G$5)*($C$25:$C$124&gt;=$C110)*($C$25:$C$124&lt;=$C110+ANALYSIS!$G$6)))</f>
        <v>6</v>
      </c>
      <c r="Y110" cm="1">
        <f t="array" ref="Y110">IF(BE110&gt;0,0,SUMPRODUCT((BE$25:BE$124=0)*($B$25:$B$124&gt;=$B110)*($B$25:$B$124&lt;=$B110+ANALYSIS!$G$5)*($C$25:$C$124&gt;=$C110)*($C$25:$C$124&lt;=$C110+ANALYSIS!$G$6)))</f>
        <v>0</v>
      </c>
      <c r="Z110" cm="1">
        <f t="array" ref="Z110">IF(BF110&gt;0,0,SUMPRODUCT((BF$25:BF$124=0)*($B$25:$B$124&gt;=$B110)*($B$25:$B$124&lt;=$B110+ANALYSIS!$G$5)*($C$25:$C$124&gt;=$C110)*($C$25:$C$124&lt;=$C110+ANALYSIS!$G$6)))</f>
        <v>0</v>
      </c>
      <c r="AA110" cm="1">
        <f t="array" ref="AA110">IF(BG110&gt;0,0,SUMPRODUCT((BG$25:BG$124=0)*($B$25:$B$124&gt;=$B110)*($B$25:$B$124&lt;=$B110+ANALYSIS!$G$5)*($C$25:$C$124&gt;=$C110)*($C$25:$C$124&lt;=$C110+ANALYSIS!$G$6)))</f>
        <v>0</v>
      </c>
      <c r="AB110" cm="1">
        <f t="array" ref="AB110">IF(BH110&gt;0,0,SUMPRODUCT((BH$25:BH$124=0)*($B$25:$B$124&gt;=$B110)*($B$25:$B$124&lt;=$B110+ANALYSIS!$G$5)*($C$25:$C$124&gt;=$C110)*($C$25:$C$124&lt;=$C110+ANALYSIS!$G$6)))</f>
        <v>0</v>
      </c>
      <c r="AC110" cm="1">
        <f t="array" ref="AC110">IF(BI110&gt;0,0,SUMPRODUCT((BI$25:BI$124=0)*($B$25:$B$124&gt;=$B110)*($B$25:$B$124&lt;=$B110+ANALYSIS!$G$5)*($C$25:$C$124&gt;=$C110)*($C$25:$C$124&lt;=$C110+ANALYSIS!$G$6)))</f>
        <v>0</v>
      </c>
      <c r="AD110" cm="1">
        <f t="array" ref="AD110">IF(BJ110&gt;0,0,SUMPRODUCT((BJ$25:BJ$124=0)*($B$25:$B$124&gt;=$B110)*($B$25:$B$124&lt;=$B110+ANALYSIS!$G$5)*($C$25:$C$124&gt;=$C110)*($C$25:$C$124&lt;=$C110+ANALYSIS!$G$6)))</f>
        <v>0</v>
      </c>
      <c r="AE110" cm="1">
        <f t="array" ref="AE110">IF(BK110&gt;0,0,SUMPRODUCT((BK$25:BK$124=0)*($B$25:$B$124&gt;=$B110)*($B$25:$B$124&lt;=$B110+ANALYSIS!$G$5)*($C$25:$C$124&gt;=$C110)*($C$25:$C$124&lt;=$C110+ANALYSIS!$G$6)))</f>
        <v>0</v>
      </c>
      <c r="AF110" cm="1">
        <f t="array" ref="AF110">IF(BL110&gt;0,0,SUMPRODUCT((BL$25:BL$124=0)*($B$25:$B$124&gt;=$B110)*($B$25:$B$124&lt;=$B110+ANALYSIS!$G$5)*($C$25:$C$124&gt;=$C110)*($C$25:$C$124&lt;=$C110+ANALYSIS!$G$6)))</f>
        <v>0</v>
      </c>
      <c r="AH110">
        <f>IF(AND(AX110=0,$B110&gt;=R$22,$B110&lt;=R$22+ANALYSIS!$G$5,$C110&gt;=R$23,$C110&lt;=R$23+ANALYSIS!$G$6),1,0)</f>
        <v>0</v>
      </c>
      <c r="AI110">
        <f>IF(AND(AY110=0,$B110&gt;=S$22,$B110&lt;=S$22+ANALYSIS!$G$5,$C110&gt;=S$23,$C110&lt;=S$23+ANALYSIS!$G$6),1,0)</f>
        <v>0</v>
      </c>
      <c r="AJ110">
        <f>IF(AND(AZ110=0,$B110&gt;=T$22,$B110&lt;=T$22+ANALYSIS!$G$5,$C110&gt;=T$23,$C110&lt;=T$23+ANALYSIS!$G$6),1,0)</f>
        <v>0</v>
      </c>
      <c r="AK110">
        <f>IF(AND(BA110=0,$B110&gt;=U$22,$B110&lt;=U$22+ANALYSIS!$G$5,$C110&gt;=U$23,$C110&lt;=U$23+ANALYSIS!$G$6),1,0)</f>
        <v>0</v>
      </c>
      <c r="AL110">
        <f>IF(AND(BB110=0,$B110&gt;=V$22,$B110&lt;=V$22+ANALYSIS!$G$5,$C110&gt;=V$23,$C110&lt;=V$23+ANALYSIS!$G$6),1,0)</f>
        <v>0</v>
      </c>
      <c r="AM110">
        <f>IF(AND(BC110=0,$B110&gt;=W$22,$B110&lt;=W$22+ANALYSIS!$G$5,$C110&gt;=W$23,$C110&lt;=W$23+ANALYSIS!$G$6),1,0)</f>
        <v>0</v>
      </c>
      <c r="AN110">
        <f>IF(AND(BD110=0,$B110&gt;=X$22,$B110&lt;=X$22+ANALYSIS!$G$5,$C110&gt;=X$23,$C110&lt;=X$23+ANALYSIS!$G$6),1,0)</f>
        <v>1</v>
      </c>
      <c r="AO110">
        <f>IF(AND(BE110=0,$B110&gt;=Y$22,$B110&lt;=Y$22+ANALYSIS!$G$5,$C110&gt;=Y$23,$C110&lt;=Y$23+ANALYSIS!$G$6),1,0)</f>
        <v>0</v>
      </c>
      <c r="AP110">
        <f>IF(AND(BF110=0,$B110&gt;=Z$22,$B110&lt;=Z$22+ANALYSIS!$G$5,$C110&gt;=Z$23,$C110&lt;=Z$23+ANALYSIS!$G$6),1,0)</f>
        <v>0</v>
      </c>
      <c r="AQ110">
        <f>IF(AND(BG110=0,$B110&gt;=AA$22,$B110&lt;=AA$22+ANALYSIS!$G$5,$C110&gt;=AA$23,$C110&lt;=AA$23+ANALYSIS!$G$6),1,0)</f>
        <v>0</v>
      </c>
      <c r="AR110">
        <f>IF(AND(BH110=0,$B110&gt;=AB$22,$B110&lt;=AB$22+ANALYSIS!$G$5,$C110&gt;=AB$23,$C110&lt;=AB$23+ANALYSIS!$G$6),1,0)</f>
        <v>0</v>
      </c>
      <c r="AS110">
        <f>IF(AND(BI110=0,$B110&gt;=AC$22,$B110&lt;=AC$22+ANALYSIS!$G$5,$C110&gt;=AC$23,$C110&lt;=AC$23+ANALYSIS!$G$6),1,0)</f>
        <v>0</v>
      </c>
      <c r="AT110">
        <f>IF(AND(BJ110=0,$B110&gt;=AD$22,$B110&lt;=AD$22+ANALYSIS!$G$5,$C110&gt;=AD$23,$C110&lt;=AD$23+ANALYSIS!$G$6),1,0)</f>
        <v>0</v>
      </c>
      <c r="AU110">
        <f>IF(AND(BK110=0,$B110&gt;=AE$22,$B110&lt;=AE$22+ANALYSIS!$G$5,$C110&gt;=AE$23,$C110&lt;=AE$23+ANALYSIS!$G$6),1,0)</f>
        <v>0</v>
      </c>
      <c r="AV110">
        <f>IF(AND(BL110=0,$B110&gt;=AF$22,$B110&lt;=AF$22+ANALYSIS!$G$5,$C110&gt;=AF$23,$C110&lt;=AF$23+ANALYSIS!$G$6),1,0)</f>
        <v>0</v>
      </c>
      <c r="AX110">
        <v>0</v>
      </c>
      <c r="AY110">
        <f t="shared" si="29"/>
        <v>0</v>
      </c>
      <c r="AZ110">
        <f t="shared" si="30"/>
        <v>0</v>
      </c>
      <c r="BA110">
        <f t="shared" si="31"/>
        <v>0</v>
      </c>
      <c r="BB110">
        <f t="shared" si="32"/>
        <v>0</v>
      </c>
      <c r="BC110">
        <f t="shared" si="33"/>
        <v>0</v>
      </c>
      <c r="BD110">
        <f t="shared" si="34"/>
        <v>0</v>
      </c>
      <c r="BE110">
        <f t="shared" si="35"/>
        <v>1</v>
      </c>
      <c r="BF110">
        <f t="shared" si="36"/>
        <v>1</v>
      </c>
      <c r="BG110">
        <f t="shared" si="37"/>
        <v>1</v>
      </c>
      <c r="BH110">
        <f t="shared" si="38"/>
        <v>1</v>
      </c>
      <c r="BI110">
        <f t="shared" si="39"/>
        <v>1</v>
      </c>
      <c r="BJ110">
        <f t="shared" si="40"/>
        <v>1</v>
      </c>
      <c r="BK110">
        <f t="shared" si="41"/>
        <v>1</v>
      </c>
      <c r="BL110">
        <f t="shared" si="42"/>
        <v>1</v>
      </c>
      <c r="BM110">
        <f t="shared" si="43"/>
        <v>1</v>
      </c>
    </row>
    <row r="111" spans="1:65" x14ac:dyDescent="0.25">
      <c r="A111" s="41" t="str">
        <f>ANALYSIS!B117</f>
        <v>20-37</v>
      </c>
      <c r="B111" s="41">
        <f>ANALYSIS!E117</f>
        <v>54.5</v>
      </c>
      <c r="C111" s="41">
        <f>ANALYSIS!G117</f>
        <v>21.46</v>
      </c>
      <c r="D111" s="41" t="str">
        <f t="shared" si="28"/>
        <v/>
      </c>
      <c r="R111" cm="1">
        <f t="array" ref="R111">IF(AX111&gt;0,0,SUMPRODUCT((AX$25:AX$124=0)*($B$25:$B$124&gt;=$B111)*($B$25:$B$124&lt;=$B111+ANALYSIS!$G$5)*($C$25:$C$124&gt;=$C111)*($C$25:$C$124&lt;=$C111+ANALYSIS!$G$6)))</f>
        <v>5</v>
      </c>
      <c r="S111" cm="1">
        <f t="array" ref="S111">IF(AY111&gt;0,0,SUMPRODUCT((AY$25:AY$124=0)*($B$25:$B$124&gt;=$B111)*($B$25:$B$124&lt;=$B111+ANALYSIS!$G$5)*($C$25:$C$124&gt;=$C111)*($C$25:$C$124&lt;=$C111+ANALYSIS!$G$6)))</f>
        <v>5</v>
      </c>
      <c r="T111" cm="1">
        <f t="array" ref="T111">IF(AZ111&gt;0,0,SUMPRODUCT((AZ$25:AZ$124=0)*($B$25:$B$124&gt;=$B111)*($B$25:$B$124&lt;=$B111+ANALYSIS!$G$5)*($C$25:$C$124&gt;=$C111)*($C$25:$C$124&lt;=$C111+ANALYSIS!$G$6)))</f>
        <v>5</v>
      </c>
      <c r="U111" cm="1">
        <f t="array" ref="U111">IF(BA111&gt;0,0,SUMPRODUCT((BA$25:BA$124=0)*($B$25:$B$124&gt;=$B111)*($B$25:$B$124&lt;=$B111+ANALYSIS!$G$5)*($C$25:$C$124&gt;=$C111)*($C$25:$C$124&lt;=$C111+ANALYSIS!$G$6)))</f>
        <v>5</v>
      </c>
      <c r="V111" cm="1">
        <f t="array" ref="V111">IF(BB111&gt;0,0,SUMPRODUCT((BB$25:BB$124=0)*($B$25:$B$124&gt;=$B111)*($B$25:$B$124&lt;=$B111+ANALYSIS!$G$5)*($C$25:$C$124&gt;=$C111)*($C$25:$C$124&lt;=$C111+ANALYSIS!$G$6)))</f>
        <v>1</v>
      </c>
      <c r="W111" cm="1">
        <f t="array" ref="W111">IF(BC111&gt;0,0,SUMPRODUCT((BC$25:BC$124=0)*($B$25:$B$124&gt;=$B111)*($B$25:$B$124&lt;=$B111+ANALYSIS!$G$5)*($C$25:$C$124&gt;=$C111)*($C$25:$C$124&lt;=$C111+ANALYSIS!$G$6)))</f>
        <v>1</v>
      </c>
      <c r="X111" cm="1">
        <f t="array" ref="X111">IF(BD111&gt;0,0,SUMPRODUCT((BD$25:BD$124=0)*($B$25:$B$124&gt;=$B111)*($B$25:$B$124&lt;=$B111+ANALYSIS!$G$5)*($C$25:$C$124&gt;=$C111)*($C$25:$C$124&lt;=$C111+ANALYSIS!$G$6)))</f>
        <v>1</v>
      </c>
      <c r="Y111" cm="1">
        <f t="array" ref="Y111">IF(BE111&gt;0,0,SUMPRODUCT((BE$25:BE$124=0)*($B$25:$B$124&gt;=$B111)*($B$25:$B$124&lt;=$B111+ANALYSIS!$G$5)*($C$25:$C$124&gt;=$C111)*($C$25:$C$124&lt;=$C111+ANALYSIS!$G$6)))</f>
        <v>1</v>
      </c>
      <c r="Z111" cm="1">
        <f t="array" ref="Z111">IF(BF111&gt;0,0,SUMPRODUCT((BF$25:BF$124=0)*($B$25:$B$124&gt;=$B111)*($B$25:$B$124&lt;=$B111+ANALYSIS!$G$5)*($C$25:$C$124&gt;=$C111)*($C$25:$C$124&lt;=$C111+ANALYSIS!$G$6)))</f>
        <v>1</v>
      </c>
      <c r="AA111" cm="1">
        <f t="array" ref="AA111">IF(BG111&gt;0,0,SUMPRODUCT((BG$25:BG$124=0)*($B$25:$B$124&gt;=$B111)*($B$25:$B$124&lt;=$B111+ANALYSIS!$G$5)*($C$25:$C$124&gt;=$C111)*($C$25:$C$124&lt;=$C111+ANALYSIS!$G$6)))</f>
        <v>1</v>
      </c>
      <c r="AB111" cm="1">
        <f t="array" ref="AB111">IF(BH111&gt;0,0,SUMPRODUCT((BH$25:BH$124=0)*($B$25:$B$124&gt;=$B111)*($B$25:$B$124&lt;=$B111+ANALYSIS!$G$5)*($C$25:$C$124&gt;=$C111)*($C$25:$C$124&lt;=$C111+ANALYSIS!$G$6)))</f>
        <v>1</v>
      </c>
      <c r="AC111" cm="1">
        <f t="array" ref="AC111">IF(BI111&gt;0,0,SUMPRODUCT((BI$25:BI$124=0)*($B$25:$B$124&gt;=$B111)*($B$25:$B$124&lt;=$B111+ANALYSIS!$G$5)*($C$25:$C$124&gt;=$C111)*($C$25:$C$124&lt;=$C111+ANALYSIS!$G$6)))</f>
        <v>1</v>
      </c>
      <c r="AD111" cm="1">
        <f t="array" ref="AD111">IF(BJ111&gt;0,0,SUMPRODUCT((BJ$25:BJ$124=0)*($B$25:$B$124&gt;=$B111)*($B$25:$B$124&lt;=$B111+ANALYSIS!$G$5)*($C$25:$C$124&gt;=$C111)*($C$25:$C$124&lt;=$C111+ANALYSIS!$G$6)))</f>
        <v>1</v>
      </c>
      <c r="AE111" cm="1">
        <f t="array" ref="AE111">IF(BK111&gt;0,0,SUMPRODUCT((BK$25:BK$124=0)*($B$25:$B$124&gt;=$B111)*($B$25:$B$124&lt;=$B111+ANALYSIS!$G$5)*($C$25:$C$124&gt;=$C111)*($C$25:$C$124&lt;=$C111+ANALYSIS!$G$6)))</f>
        <v>1</v>
      </c>
      <c r="AF111" cm="1">
        <f t="array" ref="AF111">IF(BL111&gt;0,0,SUMPRODUCT((BL$25:BL$124=0)*($B$25:$B$124&gt;=$B111)*($B$25:$B$124&lt;=$B111+ANALYSIS!$G$5)*($C$25:$C$124&gt;=$C111)*($C$25:$C$124&lt;=$C111+ANALYSIS!$G$6)))</f>
        <v>1</v>
      </c>
      <c r="AH111">
        <f>IF(AND(AX111=0,$B111&gt;=R$22,$B111&lt;=R$22+ANALYSIS!$G$5,$C111&gt;=R$23,$C111&lt;=R$23+ANALYSIS!$G$6),1,0)</f>
        <v>0</v>
      </c>
      <c r="AI111">
        <f>IF(AND(AY111=0,$B111&gt;=S$22,$B111&lt;=S$22+ANALYSIS!$G$5,$C111&gt;=S$23,$C111&lt;=S$23+ANALYSIS!$G$6),1,0)</f>
        <v>0</v>
      </c>
      <c r="AJ111">
        <f>IF(AND(AZ111=0,$B111&gt;=T$22,$B111&lt;=T$22+ANALYSIS!$G$5,$C111&gt;=T$23,$C111&lt;=T$23+ANALYSIS!$G$6),1,0)</f>
        <v>0</v>
      </c>
      <c r="AK111">
        <f>IF(AND(BA111=0,$B111&gt;=U$22,$B111&lt;=U$22+ANALYSIS!$G$5,$C111&gt;=U$23,$C111&lt;=U$23+ANALYSIS!$G$6),1,0)</f>
        <v>0</v>
      </c>
      <c r="AL111">
        <f>IF(AND(BB111=0,$B111&gt;=V$22,$B111&lt;=V$22+ANALYSIS!$G$5,$C111&gt;=V$23,$C111&lt;=V$23+ANALYSIS!$G$6),1,0)</f>
        <v>0</v>
      </c>
      <c r="AM111">
        <f>IF(AND(BC111=0,$B111&gt;=W$22,$B111&lt;=W$22+ANALYSIS!$G$5,$C111&gt;=W$23,$C111&lt;=W$23+ANALYSIS!$G$6),1,0)</f>
        <v>0</v>
      </c>
      <c r="AN111">
        <f>IF(AND(BD111=0,$B111&gt;=X$22,$B111&lt;=X$22+ANALYSIS!$G$5,$C111&gt;=X$23,$C111&lt;=X$23+ANALYSIS!$G$6),1,0)</f>
        <v>0</v>
      </c>
      <c r="AO111">
        <f>IF(AND(BE111=0,$B111&gt;=Y$22,$B111&lt;=Y$22+ANALYSIS!$G$5,$C111&gt;=Y$23,$C111&lt;=Y$23+ANALYSIS!$G$6),1,0)</f>
        <v>0</v>
      </c>
      <c r="AP111">
        <f>IF(AND(BF111=0,$B111&gt;=Z$22,$B111&lt;=Z$22+ANALYSIS!$G$5,$C111&gt;=Z$23,$C111&lt;=Z$23+ANALYSIS!$G$6),1,0)</f>
        <v>0</v>
      </c>
      <c r="AQ111">
        <f>IF(AND(BG111=0,$B111&gt;=AA$22,$B111&lt;=AA$22+ANALYSIS!$G$5,$C111&gt;=AA$23,$C111&lt;=AA$23+ANALYSIS!$G$6),1,0)</f>
        <v>0</v>
      </c>
      <c r="AR111">
        <f>IF(AND(BH111=0,$B111&gt;=AB$22,$B111&lt;=AB$22+ANALYSIS!$G$5,$C111&gt;=AB$23,$C111&lt;=AB$23+ANALYSIS!$G$6),1,0)</f>
        <v>0</v>
      </c>
      <c r="AS111">
        <f>IF(AND(BI111=0,$B111&gt;=AC$22,$B111&lt;=AC$22+ANALYSIS!$G$5,$C111&gt;=AC$23,$C111&lt;=AC$23+ANALYSIS!$G$6),1,0)</f>
        <v>0</v>
      </c>
      <c r="AT111">
        <f>IF(AND(BJ111=0,$B111&gt;=AD$22,$B111&lt;=AD$22+ANALYSIS!$G$5,$C111&gt;=AD$23,$C111&lt;=AD$23+ANALYSIS!$G$6),1,0)</f>
        <v>0</v>
      </c>
      <c r="AU111">
        <f>IF(AND(BK111=0,$B111&gt;=AE$22,$B111&lt;=AE$22+ANALYSIS!$G$5,$C111&gt;=AE$23,$C111&lt;=AE$23+ANALYSIS!$G$6),1,0)</f>
        <v>0</v>
      </c>
      <c r="AV111">
        <f>IF(AND(BL111=0,$B111&gt;=AF$22,$B111&lt;=AF$22+ANALYSIS!$G$5,$C111&gt;=AF$23,$C111&lt;=AF$23+ANALYSIS!$G$6),1,0)</f>
        <v>0</v>
      </c>
      <c r="AX111">
        <v>0</v>
      </c>
      <c r="AY111">
        <f t="shared" si="29"/>
        <v>0</v>
      </c>
      <c r="AZ111">
        <f t="shared" si="30"/>
        <v>0</v>
      </c>
      <c r="BA111">
        <f t="shared" si="31"/>
        <v>0</v>
      </c>
      <c r="BB111">
        <f t="shared" si="32"/>
        <v>0</v>
      </c>
      <c r="BC111">
        <f t="shared" si="33"/>
        <v>0</v>
      </c>
      <c r="BD111">
        <f t="shared" si="34"/>
        <v>0</v>
      </c>
      <c r="BE111">
        <f t="shared" si="35"/>
        <v>0</v>
      </c>
      <c r="BF111">
        <f t="shared" si="36"/>
        <v>0</v>
      </c>
      <c r="BG111">
        <f t="shared" si="37"/>
        <v>0</v>
      </c>
      <c r="BH111">
        <f t="shared" si="38"/>
        <v>0</v>
      </c>
      <c r="BI111">
        <f t="shared" si="39"/>
        <v>0</v>
      </c>
      <c r="BJ111">
        <f t="shared" si="40"/>
        <v>0</v>
      </c>
      <c r="BK111">
        <f t="shared" si="41"/>
        <v>0</v>
      </c>
      <c r="BL111">
        <f t="shared" si="42"/>
        <v>0</v>
      </c>
      <c r="BM111">
        <f t="shared" si="43"/>
        <v>0</v>
      </c>
    </row>
    <row r="112" spans="1:65" x14ac:dyDescent="0.25">
      <c r="A112" s="41" t="str">
        <f>ANALYSIS!B118</f>
        <v>20-38</v>
      </c>
      <c r="B112" s="41">
        <f>ANALYSIS!E118</f>
        <v>58</v>
      </c>
      <c r="C112" s="41">
        <f>ANALYSIS!G118</f>
        <v>23</v>
      </c>
      <c r="D112" s="41">
        <f t="shared" si="28"/>
        <v>7</v>
      </c>
      <c r="R112" cm="1">
        <f t="array" ref="R112">IF(AX112&gt;0,0,SUMPRODUCT((AX$25:AX$124=0)*($B$25:$B$124&gt;=$B112)*($B$25:$B$124&lt;=$B112+ANALYSIS!$G$5)*($C$25:$C$124&gt;=$C112)*($C$25:$C$124&lt;=$C112+ANALYSIS!$G$6)))</f>
        <v>3</v>
      </c>
      <c r="S112" cm="1">
        <f t="array" ref="S112">IF(AY112&gt;0,0,SUMPRODUCT((AY$25:AY$124=0)*($B$25:$B$124&gt;=$B112)*($B$25:$B$124&lt;=$B112+ANALYSIS!$G$5)*($C$25:$C$124&gt;=$C112)*($C$25:$C$124&lt;=$C112+ANALYSIS!$G$6)))</f>
        <v>3</v>
      </c>
      <c r="T112" cm="1">
        <f t="array" ref="T112">IF(AZ112&gt;0,0,SUMPRODUCT((AZ$25:AZ$124=0)*($B$25:$B$124&gt;=$B112)*($B$25:$B$124&lt;=$B112+ANALYSIS!$G$5)*($C$25:$C$124&gt;=$C112)*($C$25:$C$124&lt;=$C112+ANALYSIS!$G$6)))</f>
        <v>3</v>
      </c>
      <c r="U112" cm="1">
        <f t="array" ref="U112">IF(BA112&gt;0,0,SUMPRODUCT((BA$25:BA$124=0)*($B$25:$B$124&gt;=$B112)*($B$25:$B$124&lt;=$B112+ANALYSIS!$G$5)*($C$25:$C$124&gt;=$C112)*($C$25:$C$124&lt;=$C112+ANALYSIS!$G$6)))</f>
        <v>3</v>
      </c>
      <c r="V112" cm="1">
        <f t="array" ref="V112">IF(BB112&gt;0,0,SUMPRODUCT((BB$25:BB$124=0)*($B$25:$B$124&gt;=$B112)*($B$25:$B$124&lt;=$B112+ANALYSIS!$G$5)*($C$25:$C$124&gt;=$C112)*($C$25:$C$124&lt;=$C112+ANALYSIS!$G$6)))</f>
        <v>3</v>
      </c>
      <c r="W112" cm="1">
        <f t="array" ref="W112">IF(BC112&gt;0,0,SUMPRODUCT((BC$25:BC$124=0)*($B$25:$B$124&gt;=$B112)*($B$25:$B$124&lt;=$B112+ANALYSIS!$G$5)*($C$25:$C$124&gt;=$C112)*($C$25:$C$124&lt;=$C112+ANALYSIS!$G$6)))</f>
        <v>3</v>
      </c>
      <c r="X112" cm="1">
        <f t="array" ref="X112">IF(BD112&gt;0,0,SUMPRODUCT((BD$25:BD$124=0)*($B$25:$B$124&gt;=$B112)*($B$25:$B$124&lt;=$B112+ANALYSIS!$G$5)*($C$25:$C$124&gt;=$C112)*($C$25:$C$124&lt;=$C112+ANALYSIS!$G$6)))</f>
        <v>3</v>
      </c>
      <c r="Y112" cm="1">
        <f t="array" ref="Y112">IF(BE112&gt;0,0,SUMPRODUCT((BE$25:BE$124=0)*($B$25:$B$124&gt;=$B112)*($B$25:$B$124&lt;=$B112+ANALYSIS!$G$5)*($C$25:$C$124&gt;=$C112)*($C$25:$C$124&lt;=$C112+ANALYSIS!$G$6)))</f>
        <v>0</v>
      </c>
      <c r="Z112" cm="1">
        <f t="array" ref="Z112">IF(BF112&gt;0,0,SUMPRODUCT((BF$25:BF$124=0)*($B$25:$B$124&gt;=$B112)*($B$25:$B$124&lt;=$B112+ANALYSIS!$G$5)*($C$25:$C$124&gt;=$C112)*($C$25:$C$124&lt;=$C112+ANALYSIS!$G$6)))</f>
        <v>0</v>
      </c>
      <c r="AA112" cm="1">
        <f t="array" ref="AA112">IF(BG112&gt;0,0,SUMPRODUCT((BG$25:BG$124=0)*($B$25:$B$124&gt;=$B112)*($B$25:$B$124&lt;=$B112+ANALYSIS!$G$5)*($C$25:$C$124&gt;=$C112)*($C$25:$C$124&lt;=$C112+ANALYSIS!$G$6)))</f>
        <v>0</v>
      </c>
      <c r="AB112" cm="1">
        <f t="array" ref="AB112">IF(BH112&gt;0,0,SUMPRODUCT((BH$25:BH$124=0)*($B$25:$B$124&gt;=$B112)*($B$25:$B$124&lt;=$B112+ANALYSIS!$G$5)*($C$25:$C$124&gt;=$C112)*($C$25:$C$124&lt;=$C112+ANALYSIS!$G$6)))</f>
        <v>0</v>
      </c>
      <c r="AC112" cm="1">
        <f t="array" ref="AC112">IF(BI112&gt;0,0,SUMPRODUCT((BI$25:BI$124=0)*($B$25:$B$124&gt;=$B112)*($B$25:$B$124&lt;=$B112+ANALYSIS!$G$5)*($C$25:$C$124&gt;=$C112)*($C$25:$C$124&lt;=$C112+ANALYSIS!$G$6)))</f>
        <v>0</v>
      </c>
      <c r="AD112" cm="1">
        <f t="array" ref="AD112">IF(BJ112&gt;0,0,SUMPRODUCT((BJ$25:BJ$124=0)*($B$25:$B$124&gt;=$B112)*($B$25:$B$124&lt;=$B112+ANALYSIS!$G$5)*($C$25:$C$124&gt;=$C112)*($C$25:$C$124&lt;=$C112+ANALYSIS!$G$6)))</f>
        <v>0</v>
      </c>
      <c r="AE112" cm="1">
        <f t="array" ref="AE112">IF(BK112&gt;0,0,SUMPRODUCT((BK$25:BK$124=0)*($B$25:$B$124&gt;=$B112)*($B$25:$B$124&lt;=$B112+ANALYSIS!$G$5)*($C$25:$C$124&gt;=$C112)*($C$25:$C$124&lt;=$C112+ANALYSIS!$G$6)))</f>
        <v>0</v>
      </c>
      <c r="AF112" cm="1">
        <f t="array" ref="AF112">IF(BL112&gt;0,0,SUMPRODUCT((BL$25:BL$124=0)*($B$25:$B$124&gt;=$B112)*($B$25:$B$124&lt;=$B112+ANALYSIS!$G$5)*($C$25:$C$124&gt;=$C112)*($C$25:$C$124&lt;=$C112+ANALYSIS!$G$6)))</f>
        <v>0</v>
      </c>
      <c r="AH112">
        <f>IF(AND(AX112=0,$B112&gt;=R$22,$B112&lt;=R$22+ANALYSIS!$G$5,$C112&gt;=R$23,$C112&lt;=R$23+ANALYSIS!$G$6),1,0)</f>
        <v>0</v>
      </c>
      <c r="AI112">
        <f>IF(AND(AY112=0,$B112&gt;=S$22,$B112&lt;=S$22+ANALYSIS!$G$5,$C112&gt;=S$23,$C112&lt;=S$23+ANALYSIS!$G$6),1,0)</f>
        <v>0</v>
      </c>
      <c r="AJ112">
        <f>IF(AND(AZ112=0,$B112&gt;=T$22,$B112&lt;=T$22+ANALYSIS!$G$5,$C112&gt;=T$23,$C112&lt;=T$23+ANALYSIS!$G$6),1,0)</f>
        <v>0</v>
      </c>
      <c r="AK112">
        <f>IF(AND(BA112=0,$B112&gt;=U$22,$B112&lt;=U$22+ANALYSIS!$G$5,$C112&gt;=U$23,$C112&lt;=U$23+ANALYSIS!$G$6),1,0)</f>
        <v>0</v>
      </c>
      <c r="AL112">
        <f>IF(AND(BB112=0,$B112&gt;=V$22,$B112&lt;=V$22+ANALYSIS!$G$5,$C112&gt;=V$23,$C112&lt;=V$23+ANALYSIS!$G$6),1,0)</f>
        <v>0</v>
      </c>
      <c r="AM112">
        <f>IF(AND(BC112=0,$B112&gt;=W$22,$B112&lt;=W$22+ANALYSIS!$G$5,$C112&gt;=W$23,$C112&lt;=W$23+ANALYSIS!$G$6),1,0)</f>
        <v>0</v>
      </c>
      <c r="AN112">
        <f>IF(AND(BD112=0,$B112&gt;=X$22,$B112&lt;=X$22+ANALYSIS!$G$5,$C112&gt;=X$23,$C112&lt;=X$23+ANALYSIS!$G$6),1,0)</f>
        <v>1</v>
      </c>
      <c r="AO112">
        <f>IF(AND(BE112=0,$B112&gt;=Y$22,$B112&lt;=Y$22+ANALYSIS!$G$5,$C112&gt;=Y$23,$C112&lt;=Y$23+ANALYSIS!$G$6),1,0)</f>
        <v>0</v>
      </c>
      <c r="AP112">
        <f>IF(AND(BF112=0,$B112&gt;=Z$22,$B112&lt;=Z$22+ANALYSIS!$G$5,$C112&gt;=Z$23,$C112&lt;=Z$23+ANALYSIS!$G$6),1,0)</f>
        <v>0</v>
      </c>
      <c r="AQ112">
        <f>IF(AND(BG112=0,$B112&gt;=AA$22,$B112&lt;=AA$22+ANALYSIS!$G$5,$C112&gt;=AA$23,$C112&lt;=AA$23+ANALYSIS!$G$6),1,0)</f>
        <v>0</v>
      </c>
      <c r="AR112">
        <f>IF(AND(BH112=0,$B112&gt;=AB$22,$B112&lt;=AB$22+ANALYSIS!$G$5,$C112&gt;=AB$23,$C112&lt;=AB$23+ANALYSIS!$G$6),1,0)</f>
        <v>0</v>
      </c>
      <c r="AS112">
        <f>IF(AND(BI112=0,$B112&gt;=AC$22,$B112&lt;=AC$22+ANALYSIS!$G$5,$C112&gt;=AC$23,$C112&lt;=AC$23+ANALYSIS!$G$6),1,0)</f>
        <v>0</v>
      </c>
      <c r="AT112">
        <f>IF(AND(BJ112=0,$B112&gt;=AD$22,$B112&lt;=AD$22+ANALYSIS!$G$5,$C112&gt;=AD$23,$C112&lt;=AD$23+ANALYSIS!$G$6),1,0)</f>
        <v>0</v>
      </c>
      <c r="AU112">
        <f>IF(AND(BK112=0,$B112&gt;=AE$22,$B112&lt;=AE$22+ANALYSIS!$G$5,$C112&gt;=AE$23,$C112&lt;=AE$23+ANALYSIS!$G$6),1,0)</f>
        <v>0</v>
      </c>
      <c r="AV112">
        <f>IF(AND(BL112=0,$B112&gt;=AF$22,$B112&lt;=AF$22+ANALYSIS!$G$5,$C112&gt;=AF$23,$C112&lt;=AF$23+ANALYSIS!$G$6),1,0)</f>
        <v>0</v>
      </c>
      <c r="AX112">
        <v>0</v>
      </c>
      <c r="AY112">
        <f t="shared" si="29"/>
        <v>0</v>
      </c>
      <c r="AZ112">
        <f t="shared" si="30"/>
        <v>0</v>
      </c>
      <c r="BA112">
        <f t="shared" si="31"/>
        <v>0</v>
      </c>
      <c r="BB112">
        <f t="shared" si="32"/>
        <v>0</v>
      </c>
      <c r="BC112">
        <f t="shared" si="33"/>
        <v>0</v>
      </c>
      <c r="BD112">
        <f t="shared" si="34"/>
        <v>0</v>
      </c>
      <c r="BE112">
        <f t="shared" si="35"/>
        <v>1</v>
      </c>
      <c r="BF112">
        <f t="shared" si="36"/>
        <v>1</v>
      </c>
      <c r="BG112">
        <f t="shared" si="37"/>
        <v>1</v>
      </c>
      <c r="BH112">
        <f t="shared" si="38"/>
        <v>1</v>
      </c>
      <c r="BI112">
        <f t="shared" si="39"/>
        <v>1</v>
      </c>
      <c r="BJ112">
        <f t="shared" si="40"/>
        <v>1</v>
      </c>
      <c r="BK112">
        <f t="shared" si="41"/>
        <v>1</v>
      </c>
      <c r="BL112">
        <f t="shared" si="42"/>
        <v>1</v>
      </c>
      <c r="BM112">
        <f t="shared" si="43"/>
        <v>1</v>
      </c>
    </row>
    <row r="113" spans="1:65" x14ac:dyDescent="0.25">
      <c r="A113" s="41" t="str">
        <f>ANALYSIS!B119</f>
        <v>20-39</v>
      </c>
      <c r="B113" s="41">
        <f>ANALYSIS!E119</f>
        <v>51.5</v>
      </c>
      <c r="C113" s="41">
        <f>ANALYSIS!G119</f>
        <v>22.36</v>
      </c>
      <c r="D113" s="41" t="str">
        <f t="shared" si="28"/>
        <v/>
      </c>
      <c r="R113" cm="1">
        <f t="array" ref="R113">IF(AX113&gt;0,0,SUMPRODUCT((AX$25:AX$124=0)*($B$25:$B$124&gt;=$B113)*($B$25:$B$124&lt;=$B113+ANALYSIS!$G$5)*($C$25:$C$124&gt;=$C113)*($C$25:$C$124&lt;=$C113+ANALYSIS!$G$6)))</f>
        <v>3</v>
      </c>
      <c r="S113" cm="1">
        <f t="array" ref="S113">IF(AY113&gt;0,0,SUMPRODUCT((AY$25:AY$124=0)*($B$25:$B$124&gt;=$B113)*($B$25:$B$124&lt;=$B113+ANALYSIS!$G$5)*($C$25:$C$124&gt;=$C113)*($C$25:$C$124&lt;=$C113+ANALYSIS!$G$6)))</f>
        <v>3</v>
      </c>
      <c r="T113" cm="1">
        <f t="array" ref="T113">IF(AZ113&gt;0,0,SUMPRODUCT((AZ$25:AZ$124=0)*($B$25:$B$124&gt;=$B113)*($B$25:$B$124&lt;=$B113+ANALYSIS!$G$5)*($C$25:$C$124&gt;=$C113)*($C$25:$C$124&lt;=$C113+ANALYSIS!$G$6)))</f>
        <v>3</v>
      </c>
      <c r="U113" cm="1">
        <f t="array" ref="U113">IF(BA113&gt;0,0,SUMPRODUCT((BA$25:BA$124=0)*($B$25:$B$124&gt;=$B113)*($B$25:$B$124&lt;=$B113+ANALYSIS!$G$5)*($C$25:$C$124&gt;=$C113)*($C$25:$C$124&lt;=$C113+ANALYSIS!$G$6)))</f>
        <v>3</v>
      </c>
      <c r="V113" cm="1">
        <f t="array" ref="V113">IF(BB113&gt;0,0,SUMPRODUCT((BB$25:BB$124=0)*($B$25:$B$124&gt;=$B113)*($B$25:$B$124&lt;=$B113+ANALYSIS!$G$5)*($C$25:$C$124&gt;=$C113)*($C$25:$C$124&lt;=$C113+ANALYSIS!$G$6)))</f>
        <v>3</v>
      </c>
      <c r="W113" cm="1">
        <f t="array" ref="W113">IF(BC113&gt;0,0,SUMPRODUCT((BC$25:BC$124=0)*($B$25:$B$124&gt;=$B113)*($B$25:$B$124&lt;=$B113+ANALYSIS!$G$5)*($C$25:$C$124&gt;=$C113)*($C$25:$C$124&lt;=$C113+ANALYSIS!$G$6)))</f>
        <v>2</v>
      </c>
      <c r="X113" cm="1">
        <f t="array" ref="X113">IF(BD113&gt;0,0,SUMPRODUCT((BD$25:BD$124=0)*($B$25:$B$124&gt;=$B113)*($B$25:$B$124&lt;=$B113+ANALYSIS!$G$5)*($C$25:$C$124&gt;=$C113)*($C$25:$C$124&lt;=$C113+ANALYSIS!$G$6)))</f>
        <v>2</v>
      </c>
      <c r="Y113" cm="1">
        <f t="array" ref="Y113">IF(BE113&gt;0,0,SUMPRODUCT((BE$25:BE$124=0)*($B$25:$B$124&gt;=$B113)*($B$25:$B$124&lt;=$B113+ANALYSIS!$G$5)*($C$25:$C$124&gt;=$C113)*($C$25:$C$124&lt;=$C113+ANALYSIS!$G$6)))</f>
        <v>2</v>
      </c>
      <c r="Z113" cm="1">
        <f t="array" ref="Z113">IF(BF113&gt;0,0,SUMPRODUCT((BF$25:BF$124=0)*($B$25:$B$124&gt;=$B113)*($B$25:$B$124&lt;=$B113+ANALYSIS!$G$5)*($C$25:$C$124&gt;=$C113)*($C$25:$C$124&lt;=$C113+ANALYSIS!$G$6)))</f>
        <v>1</v>
      </c>
      <c r="AA113" cm="1">
        <f t="array" ref="AA113">IF(BG113&gt;0,0,SUMPRODUCT((BG$25:BG$124=0)*($B$25:$B$124&gt;=$B113)*($B$25:$B$124&lt;=$B113+ANALYSIS!$G$5)*($C$25:$C$124&gt;=$C113)*($C$25:$C$124&lt;=$C113+ANALYSIS!$G$6)))</f>
        <v>1</v>
      </c>
      <c r="AB113" cm="1">
        <f t="array" ref="AB113">IF(BH113&gt;0,0,SUMPRODUCT((BH$25:BH$124=0)*($B$25:$B$124&gt;=$B113)*($B$25:$B$124&lt;=$B113+ANALYSIS!$G$5)*($C$25:$C$124&gt;=$C113)*($C$25:$C$124&lt;=$C113+ANALYSIS!$G$6)))</f>
        <v>1</v>
      </c>
      <c r="AC113" cm="1">
        <f t="array" ref="AC113">IF(BI113&gt;0,0,SUMPRODUCT((BI$25:BI$124=0)*($B$25:$B$124&gt;=$B113)*($B$25:$B$124&lt;=$B113+ANALYSIS!$G$5)*($C$25:$C$124&gt;=$C113)*($C$25:$C$124&lt;=$C113+ANALYSIS!$G$6)))</f>
        <v>1</v>
      </c>
      <c r="AD113" cm="1">
        <f t="array" ref="AD113">IF(BJ113&gt;0,0,SUMPRODUCT((BJ$25:BJ$124=0)*($B$25:$B$124&gt;=$B113)*($B$25:$B$124&lt;=$B113+ANALYSIS!$G$5)*($C$25:$C$124&gt;=$C113)*($C$25:$C$124&lt;=$C113+ANALYSIS!$G$6)))</f>
        <v>1</v>
      </c>
      <c r="AE113" cm="1">
        <f t="array" ref="AE113">IF(BK113&gt;0,0,SUMPRODUCT((BK$25:BK$124=0)*($B$25:$B$124&gt;=$B113)*($B$25:$B$124&lt;=$B113+ANALYSIS!$G$5)*($C$25:$C$124&gt;=$C113)*($C$25:$C$124&lt;=$C113+ANALYSIS!$G$6)))</f>
        <v>1</v>
      </c>
      <c r="AF113" cm="1">
        <f t="array" ref="AF113">IF(BL113&gt;0,0,SUMPRODUCT((BL$25:BL$124=0)*($B$25:$B$124&gt;=$B113)*($B$25:$B$124&lt;=$B113+ANALYSIS!$G$5)*($C$25:$C$124&gt;=$C113)*($C$25:$C$124&lt;=$C113+ANALYSIS!$G$6)))</f>
        <v>1</v>
      </c>
      <c r="AH113">
        <f>IF(AND(AX113=0,$B113&gt;=R$22,$B113&lt;=R$22+ANALYSIS!$G$5,$C113&gt;=R$23,$C113&lt;=R$23+ANALYSIS!$G$6),1,0)</f>
        <v>0</v>
      </c>
      <c r="AI113">
        <f>IF(AND(AY113=0,$B113&gt;=S$22,$B113&lt;=S$22+ANALYSIS!$G$5,$C113&gt;=S$23,$C113&lt;=S$23+ANALYSIS!$G$6),1,0)</f>
        <v>0</v>
      </c>
      <c r="AJ113">
        <f>IF(AND(AZ113=0,$B113&gt;=T$22,$B113&lt;=T$22+ANALYSIS!$G$5,$C113&gt;=T$23,$C113&lt;=T$23+ANALYSIS!$G$6),1,0)</f>
        <v>0</v>
      </c>
      <c r="AK113">
        <f>IF(AND(BA113=0,$B113&gt;=U$22,$B113&lt;=U$22+ANALYSIS!$G$5,$C113&gt;=U$23,$C113&lt;=U$23+ANALYSIS!$G$6),1,0)</f>
        <v>0</v>
      </c>
      <c r="AL113">
        <f>IF(AND(BB113=0,$B113&gt;=V$22,$B113&lt;=V$22+ANALYSIS!$G$5,$C113&gt;=V$23,$C113&lt;=V$23+ANALYSIS!$G$6),1,0)</f>
        <v>0</v>
      </c>
      <c r="AM113">
        <f>IF(AND(BC113=0,$B113&gt;=W$22,$B113&lt;=W$22+ANALYSIS!$G$5,$C113&gt;=W$23,$C113&lt;=W$23+ANALYSIS!$G$6),1,0)</f>
        <v>0</v>
      </c>
      <c r="AN113">
        <f>IF(AND(BD113=0,$B113&gt;=X$22,$B113&lt;=X$22+ANALYSIS!$G$5,$C113&gt;=X$23,$C113&lt;=X$23+ANALYSIS!$G$6),1,0)</f>
        <v>0</v>
      </c>
      <c r="AO113">
        <f>IF(AND(BE113=0,$B113&gt;=Y$22,$B113&lt;=Y$22+ANALYSIS!$G$5,$C113&gt;=Y$23,$C113&lt;=Y$23+ANALYSIS!$G$6),1,0)</f>
        <v>0</v>
      </c>
      <c r="AP113">
        <f>IF(AND(BF113=0,$B113&gt;=Z$22,$B113&lt;=Z$22+ANALYSIS!$G$5,$C113&gt;=Z$23,$C113&lt;=Z$23+ANALYSIS!$G$6),1,0)</f>
        <v>0</v>
      </c>
      <c r="AQ113">
        <f>IF(AND(BG113=0,$B113&gt;=AA$22,$B113&lt;=AA$22+ANALYSIS!$G$5,$C113&gt;=AA$23,$C113&lt;=AA$23+ANALYSIS!$G$6),1,0)</f>
        <v>0</v>
      </c>
      <c r="AR113">
        <f>IF(AND(BH113=0,$B113&gt;=AB$22,$B113&lt;=AB$22+ANALYSIS!$G$5,$C113&gt;=AB$23,$C113&lt;=AB$23+ANALYSIS!$G$6),1,0)</f>
        <v>0</v>
      </c>
      <c r="AS113">
        <f>IF(AND(BI113=0,$B113&gt;=AC$22,$B113&lt;=AC$22+ANALYSIS!$G$5,$C113&gt;=AC$23,$C113&lt;=AC$23+ANALYSIS!$G$6),1,0)</f>
        <v>0</v>
      </c>
      <c r="AT113">
        <f>IF(AND(BJ113=0,$B113&gt;=AD$22,$B113&lt;=AD$22+ANALYSIS!$G$5,$C113&gt;=AD$23,$C113&lt;=AD$23+ANALYSIS!$G$6),1,0)</f>
        <v>0</v>
      </c>
      <c r="AU113">
        <f>IF(AND(BK113=0,$B113&gt;=AE$22,$B113&lt;=AE$22+ANALYSIS!$G$5,$C113&gt;=AE$23,$C113&lt;=AE$23+ANALYSIS!$G$6),1,0)</f>
        <v>0</v>
      </c>
      <c r="AV113">
        <f>IF(AND(BL113=0,$B113&gt;=AF$22,$B113&lt;=AF$22+ANALYSIS!$G$5,$C113&gt;=AF$23,$C113&lt;=AF$23+ANALYSIS!$G$6),1,0)</f>
        <v>0</v>
      </c>
      <c r="AX113">
        <v>0</v>
      </c>
      <c r="AY113">
        <f t="shared" si="29"/>
        <v>0</v>
      </c>
      <c r="AZ113">
        <f t="shared" si="30"/>
        <v>0</v>
      </c>
      <c r="BA113">
        <f t="shared" si="31"/>
        <v>0</v>
      </c>
      <c r="BB113">
        <f t="shared" si="32"/>
        <v>0</v>
      </c>
      <c r="BC113">
        <f t="shared" si="33"/>
        <v>0</v>
      </c>
      <c r="BD113">
        <f t="shared" si="34"/>
        <v>0</v>
      </c>
      <c r="BE113">
        <f t="shared" si="35"/>
        <v>0</v>
      </c>
      <c r="BF113">
        <f t="shared" si="36"/>
        <v>0</v>
      </c>
      <c r="BG113">
        <f t="shared" si="37"/>
        <v>0</v>
      </c>
      <c r="BH113">
        <f t="shared" si="38"/>
        <v>0</v>
      </c>
      <c r="BI113">
        <f t="shared" si="39"/>
        <v>0</v>
      </c>
      <c r="BJ113">
        <f t="shared" si="40"/>
        <v>0</v>
      </c>
      <c r="BK113">
        <f t="shared" si="41"/>
        <v>0</v>
      </c>
      <c r="BL113">
        <f t="shared" si="42"/>
        <v>0</v>
      </c>
      <c r="BM113">
        <f t="shared" si="43"/>
        <v>0</v>
      </c>
    </row>
    <row r="114" spans="1:65" x14ac:dyDescent="0.25">
      <c r="A114" s="41" t="str">
        <f>ANALYSIS!B120</f>
        <v>20-40</v>
      </c>
      <c r="B114" s="41">
        <f>ANALYSIS!E120</f>
        <v>51</v>
      </c>
      <c r="C114" s="41">
        <f>ANALYSIS!G120</f>
        <v>21.79</v>
      </c>
      <c r="D114" s="41" t="str">
        <f t="shared" si="28"/>
        <v/>
      </c>
      <c r="R114" cm="1">
        <f t="array" ref="R114">IF(AX114&gt;0,0,SUMPRODUCT((AX$25:AX$124=0)*($B$25:$B$124&gt;=$B114)*($B$25:$B$124&lt;=$B114+ANALYSIS!$G$5)*($C$25:$C$124&gt;=$C114)*($C$25:$C$124&lt;=$C114+ANALYSIS!$G$6)))</f>
        <v>4</v>
      </c>
      <c r="S114" cm="1">
        <f t="array" ref="S114">IF(AY114&gt;0,0,SUMPRODUCT((AY$25:AY$124=0)*($B$25:$B$124&gt;=$B114)*($B$25:$B$124&lt;=$B114+ANALYSIS!$G$5)*($C$25:$C$124&gt;=$C114)*($C$25:$C$124&lt;=$C114+ANALYSIS!$G$6)))</f>
        <v>4</v>
      </c>
      <c r="T114" cm="1">
        <f t="array" ref="T114">IF(AZ114&gt;0,0,SUMPRODUCT((AZ$25:AZ$124=0)*($B$25:$B$124&gt;=$B114)*($B$25:$B$124&lt;=$B114+ANALYSIS!$G$5)*($C$25:$C$124&gt;=$C114)*($C$25:$C$124&lt;=$C114+ANALYSIS!$G$6)))</f>
        <v>4</v>
      </c>
      <c r="U114" cm="1">
        <f t="array" ref="U114">IF(BA114&gt;0,0,SUMPRODUCT((BA$25:BA$124=0)*($B$25:$B$124&gt;=$B114)*($B$25:$B$124&lt;=$B114+ANALYSIS!$G$5)*($C$25:$C$124&gt;=$C114)*($C$25:$C$124&lt;=$C114+ANALYSIS!$G$6)))</f>
        <v>4</v>
      </c>
      <c r="V114" cm="1">
        <f t="array" ref="V114">IF(BB114&gt;0,0,SUMPRODUCT((BB$25:BB$124=0)*($B$25:$B$124&gt;=$B114)*($B$25:$B$124&lt;=$B114+ANALYSIS!$G$5)*($C$25:$C$124&gt;=$C114)*($C$25:$C$124&lt;=$C114+ANALYSIS!$G$6)))</f>
        <v>3</v>
      </c>
      <c r="W114" cm="1">
        <f t="array" ref="W114">IF(BC114&gt;0,0,SUMPRODUCT((BC$25:BC$124=0)*($B$25:$B$124&gt;=$B114)*($B$25:$B$124&lt;=$B114+ANALYSIS!$G$5)*($C$25:$C$124&gt;=$C114)*($C$25:$C$124&lt;=$C114+ANALYSIS!$G$6)))</f>
        <v>2</v>
      </c>
      <c r="X114" cm="1">
        <f t="array" ref="X114">IF(BD114&gt;0,0,SUMPRODUCT((BD$25:BD$124=0)*($B$25:$B$124&gt;=$B114)*($B$25:$B$124&lt;=$B114+ANALYSIS!$G$5)*($C$25:$C$124&gt;=$C114)*($C$25:$C$124&lt;=$C114+ANALYSIS!$G$6)))</f>
        <v>2</v>
      </c>
      <c r="Y114" cm="1">
        <f t="array" ref="Y114">IF(BE114&gt;0,0,SUMPRODUCT((BE$25:BE$124=0)*($B$25:$B$124&gt;=$B114)*($B$25:$B$124&lt;=$B114+ANALYSIS!$G$5)*($C$25:$C$124&gt;=$C114)*($C$25:$C$124&lt;=$C114+ANALYSIS!$G$6)))</f>
        <v>2</v>
      </c>
      <c r="Z114" cm="1">
        <f t="array" ref="Z114">IF(BF114&gt;0,0,SUMPRODUCT((BF$25:BF$124=0)*($B$25:$B$124&gt;=$B114)*($B$25:$B$124&lt;=$B114+ANALYSIS!$G$5)*($C$25:$C$124&gt;=$C114)*($C$25:$C$124&lt;=$C114+ANALYSIS!$G$6)))</f>
        <v>2</v>
      </c>
      <c r="AA114" cm="1">
        <f t="array" ref="AA114">IF(BG114&gt;0,0,SUMPRODUCT((BG$25:BG$124=0)*($B$25:$B$124&gt;=$B114)*($B$25:$B$124&lt;=$B114+ANALYSIS!$G$5)*($C$25:$C$124&gt;=$C114)*($C$25:$C$124&lt;=$C114+ANALYSIS!$G$6)))</f>
        <v>2</v>
      </c>
      <c r="AB114" cm="1">
        <f t="array" ref="AB114">IF(BH114&gt;0,0,SUMPRODUCT((BH$25:BH$124=0)*($B$25:$B$124&gt;=$B114)*($B$25:$B$124&lt;=$B114+ANALYSIS!$G$5)*($C$25:$C$124&gt;=$C114)*($C$25:$C$124&lt;=$C114+ANALYSIS!$G$6)))</f>
        <v>2</v>
      </c>
      <c r="AC114" cm="1">
        <f t="array" ref="AC114">IF(BI114&gt;0,0,SUMPRODUCT((BI$25:BI$124=0)*($B$25:$B$124&gt;=$B114)*($B$25:$B$124&lt;=$B114+ANALYSIS!$G$5)*($C$25:$C$124&gt;=$C114)*($C$25:$C$124&lt;=$C114+ANALYSIS!$G$6)))</f>
        <v>2</v>
      </c>
      <c r="AD114" cm="1">
        <f t="array" ref="AD114">IF(BJ114&gt;0,0,SUMPRODUCT((BJ$25:BJ$124=0)*($B$25:$B$124&gt;=$B114)*($B$25:$B$124&lt;=$B114+ANALYSIS!$G$5)*($C$25:$C$124&gt;=$C114)*($C$25:$C$124&lt;=$C114+ANALYSIS!$G$6)))</f>
        <v>2</v>
      </c>
      <c r="AE114" cm="1">
        <f t="array" ref="AE114">IF(BK114&gt;0,0,SUMPRODUCT((BK$25:BK$124=0)*($B$25:$B$124&gt;=$B114)*($B$25:$B$124&lt;=$B114+ANALYSIS!$G$5)*($C$25:$C$124&gt;=$C114)*($C$25:$C$124&lt;=$C114+ANALYSIS!$G$6)))</f>
        <v>1</v>
      </c>
      <c r="AF114" cm="1">
        <f t="array" ref="AF114">IF(BL114&gt;0,0,SUMPRODUCT((BL$25:BL$124=0)*($B$25:$B$124&gt;=$B114)*($B$25:$B$124&lt;=$B114+ANALYSIS!$G$5)*($C$25:$C$124&gt;=$C114)*($C$25:$C$124&lt;=$C114+ANALYSIS!$G$6)))</f>
        <v>1</v>
      </c>
      <c r="AH114">
        <f>IF(AND(AX114=0,$B114&gt;=R$22,$B114&lt;=R$22+ANALYSIS!$G$5,$C114&gt;=R$23,$C114&lt;=R$23+ANALYSIS!$G$6),1,0)</f>
        <v>0</v>
      </c>
      <c r="AI114">
        <f>IF(AND(AY114=0,$B114&gt;=S$22,$B114&lt;=S$22+ANALYSIS!$G$5,$C114&gt;=S$23,$C114&lt;=S$23+ANALYSIS!$G$6),1,0)</f>
        <v>0</v>
      </c>
      <c r="AJ114">
        <f>IF(AND(AZ114=0,$B114&gt;=T$22,$B114&lt;=T$22+ANALYSIS!$G$5,$C114&gt;=T$23,$C114&lt;=T$23+ANALYSIS!$G$6),1,0)</f>
        <v>0</v>
      </c>
      <c r="AK114">
        <f>IF(AND(BA114=0,$B114&gt;=U$22,$B114&lt;=U$22+ANALYSIS!$G$5,$C114&gt;=U$23,$C114&lt;=U$23+ANALYSIS!$G$6),1,0)</f>
        <v>0</v>
      </c>
      <c r="AL114">
        <f>IF(AND(BB114=0,$B114&gt;=V$22,$B114&lt;=V$22+ANALYSIS!$G$5,$C114&gt;=V$23,$C114&lt;=V$23+ANALYSIS!$G$6),1,0)</f>
        <v>0</v>
      </c>
      <c r="AM114">
        <f>IF(AND(BC114=0,$B114&gt;=W$22,$B114&lt;=W$22+ANALYSIS!$G$5,$C114&gt;=W$23,$C114&lt;=W$23+ANALYSIS!$G$6),1,0)</f>
        <v>0</v>
      </c>
      <c r="AN114">
        <f>IF(AND(BD114=0,$B114&gt;=X$22,$B114&lt;=X$22+ANALYSIS!$G$5,$C114&gt;=X$23,$C114&lt;=X$23+ANALYSIS!$G$6),1,0)</f>
        <v>0</v>
      </c>
      <c r="AO114">
        <f>IF(AND(BE114=0,$B114&gt;=Y$22,$B114&lt;=Y$22+ANALYSIS!$G$5,$C114&gt;=Y$23,$C114&lt;=Y$23+ANALYSIS!$G$6),1,0)</f>
        <v>0</v>
      </c>
      <c r="AP114">
        <f>IF(AND(BF114=0,$B114&gt;=Z$22,$B114&lt;=Z$22+ANALYSIS!$G$5,$C114&gt;=Z$23,$C114&lt;=Z$23+ANALYSIS!$G$6),1,0)</f>
        <v>0</v>
      </c>
      <c r="AQ114">
        <f>IF(AND(BG114=0,$B114&gt;=AA$22,$B114&lt;=AA$22+ANALYSIS!$G$5,$C114&gt;=AA$23,$C114&lt;=AA$23+ANALYSIS!$G$6),1,0)</f>
        <v>0</v>
      </c>
      <c r="AR114">
        <f>IF(AND(BH114=0,$B114&gt;=AB$22,$B114&lt;=AB$22+ANALYSIS!$G$5,$C114&gt;=AB$23,$C114&lt;=AB$23+ANALYSIS!$G$6),1,0)</f>
        <v>0</v>
      </c>
      <c r="AS114">
        <f>IF(AND(BI114=0,$B114&gt;=AC$22,$B114&lt;=AC$22+ANALYSIS!$G$5,$C114&gt;=AC$23,$C114&lt;=AC$23+ANALYSIS!$G$6),1,0)</f>
        <v>0</v>
      </c>
      <c r="AT114">
        <f>IF(AND(BJ114=0,$B114&gt;=AD$22,$B114&lt;=AD$22+ANALYSIS!$G$5,$C114&gt;=AD$23,$C114&lt;=AD$23+ANALYSIS!$G$6),1,0)</f>
        <v>0</v>
      </c>
      <c r="AU114">
        <f>IF(AND(BK114=0,$B114&gt;=AE$22,$B114&lt;=AE$22+ANALYSIS!$G$5,$C114&gt;=AE$23,$C114&lt;=AE$23+ANALYSIS!$G$6),1,0)</f>
        <v>0</v>
      </c>
      <c r="AV114">
        <f>IF(AND(BL114=0,$B114&gt;=AF$22,$B114&lt;=AF$22+ANALYSIS!$G$5,$C114&gt;=AF$23,$C114&lt;=AF$23+ANALYSIS!$G$6),1,0)</f>
        <v>0</v>
      </c>
      <c r="AX114">
        <v>0</v>
      </c>
      <c r="AY114">
        <f t="shared" si="29"/>
        <v>0</v>
      </c>
      <c r="AZ114">
        <f t="shared" si="30"/>
        <v>0</v>
      </c>
      <c r="BA114">
        <f t="shared" si="31"/>
        <v>0</v>
      </c>
      <c r="BB114">
        <f t="shared" si="32"/>
        <v>0</v>
      </c>
      <c r="BC114">
        <f t="shared" si="33"/>
        <v>0</v>
      </c>
      <c r="BD114">
        <f t="shared" si="34"/>
        <v>0</v>
      </c>
      <c r="BE114">
        <f t="shared" si="35"/>
        <v>0</v>
      </c>
      <c r="BF114">
        <f t="shared" si="36"/>
        <v>0</v>
      </c>
      <c r="BG114">
        <f t="shared" si="37"/>
        <v>0</v>
      </c>
      <c r="BH114">
        <f t="shared" si="38"/>
        <v>0</v>
      </c>
      <c r="BI114">
        <f t="shared" si="39"/>
        <v>0</v>
      </c>
      <c r="BJ114">
        <f t="shared" si="40"/>
        <v>0</v>
      </c>
      <c r="BK114">
        <f t="shared" si="41"/>
        <v>0</v>
      </c>
      <c r="BL114">
        <f t="shared" si="42"/>
        <v>0</v>
      </c>
      <c r="BM114">
        <f t="shared" si="43"/>
        <v>0</v>
      </c>
    </row>
    <row r="115" spans="1:65" x14ac:dyDescent="0.25">
      <c r="A115" s="41" t="str">
        <f>ANALYSIS!B121</f>
        <v>20-41</v>
      </c>
      <c r="B115" s="41">
        <f>ANALYSIS!E121</f>
        <v>58</v>
      </c>
      <c r="C115" s="41">
        <f>ANALYSIS!G121</f>
        <v>26.09</v>
      </c>
      <c r="D115" s="41">
        <f t="shared" si="28"/>
        <v>11</v>
      </c>
      <c r="R115" cm="1">
        <f t="array" ref="R115">IF(AX115&gt;0,0,SUMPRODUCT((AX$25:AX$124=0)*($B$25:$B$124&gt;=$B115)*($B$25:$B$124&lt;=$B115+ANALYSIS!$G$5)*($C$25:$C$124&gt;=$C115)*($C$25:$C$124&lt;=$C115+ANALYSIS!$G$6)))</f>
        <v>1</v>
      </c>
      <c r="S115" cm="1">
        <f t="array" ref="S115">IF(AY115&gt;0,0,SUMPRODUCT((AY$25:AY$124=0)*($B$25:$B$124&gt;=$B115)*($B$25:$B$124&lt;=$B115+ANALYSIS!$G$5)*($C$25:$C$124&gt;=$C115)*($C$25:$C$124&lt;=$C115+ANALYSIS!$G$6)))</f>
        <v>1</v>
      </c>
      <c r="T115" cm="1">
        <f t="array" ref="T115">IF(AZ115&gt;0,0,SUMPRODUCT((AZ$25:AZ$124=0)*($B$25:$B$124&gt;=$B115)*($B$25:$B$124&lt;=$B115+ANALYSIS!$G$5)*($C$25:$C$124&gt;=$C115)*($C$25:$C$124&lt;=$C115+ANALYSIS!$G$6)))</f>
        <v>1</v>
      </c>
      <c r="U115" cm="1">
        <f t="array" ref="U115">IF(BA115&gt;0,0,SUMPRODUCT((BA$25:BA$124=0)*($B$25:$B$124&gt;=$B115)*($B$25:$B$124&lt;=$B115+ANALYSIS!$G$5)*($C$25:$C$124&gt;=$C115)*($C$25:$C$124&lt;=$C115+ANALYSIS!$G$6)))</f>
        <v>1</v>
      </c>
      <c r="V115" cm="1">
        <f t="array" ref="V115">IF(BB115&gt;0,0,SUMPRODUCT((BB$25:BB$124=0)*($B$25:$B$124&gt;=$B115)*($B$25:$B$124&lt;=$B115+ANALYSIS!$G$5)*($C$25:$C$124&gt;=$C115)*($C$25:$C$124&lt;=$C115+ANALYSIS!$G$6)))</f>
        <v>1</v>
      </c>
      <c r="W115" cm="1">
        <f t="array" ref="W115">IF(BC115&gt;0,0,SUMPRODUCT((BC$25:BC$124=0)*($B$25:$B$124&gt;=$B115)*($B$25:$B$124&lt;=$B115+ANALYSIS!$G$5)*($C$25:$C$124&gt;=$C115)*($C$25:$C$124&lt;=$C115+ANALYSIS!$G$6)))</f>
        <v>1</v>
      </c>
      <c r="X115" cm="1">
        <f t="array" ref="X115">IF(BD115&gt;0,0,SUMPRODUCT((BD$25:BD$124=0)*($B$25:$B$124&gt;=$B115)*($B$25:$B$124&lt;=$B115+ANALYSIS!$G$5)*($C$25:$C$124&gt;=$C115)*($C$25:$C$124&lt;=$C115+ANALYSIS!$G$6)))</f>
        <v>1</v>
      </c>
      <c r="Y115" cm="1">
        <f t="array" ref="Y115">IF(BE115&gt;0,0,SUMPRODUCT((BE$25:BE$124=0)*($B$25:$B$124&gt;=$B115)*($B$25:$B$124&lt;=$B115+ANALYSIS!$G$5)*($C$25:$C$124&gt;=$C115)*($C$25:$C$124&lt;=$C115+ANALYSIS!$G$6)))</f>
        <v>1</v>
      </c>
      <c r="Z115" cm="1">
        <f t="array" ref="Z115">IF(BF115&gt;0,0,SUMPRODUCT((BF$25:BF$124=0)*($B$25:$B$124&gt;=$B115)*($B$25:$B$124&lt;=$B115+ANALYSIS!$G$5)*($C$25:$C$124&gt;=$C115)*($C$25:$C$124&lt;=$C115+ANALYSIS!$G$6)))</f>
        <v>1</v>
      </c>
      <c r="AA115" cm="1">
        <f t="array" ref="AA115">IF(BG115&gt;0,0,SUMPRODUCT((BG$25:BG$124=0)*($B$25:$B$124&gt;=$B115)*($B$25:$B$124&lt;=$B115+ANALYSIS!$G$5)*($C$25:$C$124&gt;=$C115)*($C$25:$C$124&lt;=$C115+ANALYSIS!$G$6)))</f>
        <v>1</v>
      </c>
      <c r="AB115" cm="1">
        <f t="array" ref="AB115">IF(BH115&gt;0,0,SUMPRODUCT((BH$25:BH$124=0)*($B$25:$B$124&gt;=$B115)*($B$25:$B$124&lt;=$B115+ANALYSIS!$G$5)*($C$25:$C$124&gt;=$C115)*($C$25:$C$124&lt;=$C115+ANALYSIS!$G$6)))</f>
        <v>1</v>
      </c>
      <c r="AC115" cm="1">
        <f t="array" ref="AC115">IF(BI115&gt;0,0,SUMPRODUCT((BI$25:BI$124=0)*($B$25:$B$124&gt;=$B115)*($B$25:$B$124&lt;=$B115+ANALYSIS!$G$5)*($C$25:$C$124&gt;=$C115)*($C$25:$C$124&lt;=$C115+ANALYSIS!$G$6)))</f>
        <v>0</v>
      </c>
      <c r="AD115" cm="1">
        <f t="array" ref="AD115">IF(BJ115&gt;0,0,SUMPRODUCT((BJ$25:BJ$124=0)*($B$25:$B$124&gt;=$B115)*($B$25:$B$124&lt;=$B115+ANALYSIS!$G$5)*($C$25:$C$124&gt;=$C115)*($C$25:$C$124&lt;=$C115+ANALYSIS!$G$6)))</f>
        <v>0</v>
      </c>
      <c r="AE115" cm="1">
        <f t="array" ref="AE115">IF(BK115&gt;0,0,SUMPRODUCT((BK$25:BK$124=0)*($B$25:$B$124&gt;=$B115)*($B$25:$B$124&lt;=$B115+ANALYSIS!$G$5)*($C$25:$C$124&gt;=$C115)*($C$25:$C$124&lt;=$C115+ANALYSIS!$G$6)))</f>
        <v>0</v>
      </c>
      <c r="AF115" cm="1">
        <f t="array" ref="AF115">IF(BL115&gt;0,0,SUMPRODUCT((BL$25:BL$124=0)*($B$25:$B$124&gt;=$B115)*($B$25:$B$124&lt;=$B115+ANALYSIS!$G$5)*($C$25:$C$124&gt;=$C115)*($C$25:$C$124&lt;=$C115+ANALYSIS!$G$6)))</f>
        <v>0</v>
      </c>
      <c r="AH115">
        <f>IF(AND(AX115=0,$B115&gt;=R$22,$B115&lt;=R$22+ANALYSIS!$G$5,$C115&gt;=R$23,$C115&lt;=R$23+ANALYSIS!$G$6),1,0)</f>
        <v>0</v>
      </c>
      <c r="AI115">
        <f>IF(AND(AY115=0,$B115&gt;=S$22,$B115&lt;=S$22+ANALYSIS!$G$5,$C115&gt;=S$23,$C115&lt;=S$23+ANALYSIS!$G$6),1,0)</f>
        <v>0</v>
      </c>
      <c r="AJ115">
        <f>IF(AND(AZ115=0,$B115&gt;=T$22,$B115&lt;=T$22+ANALYSIS!$G$5,$C115&gt;=T$23,$C115&lt;=T$23+ANALYSIS!$G$6),1,0)</f>
        <v>0</v>
      </c>
      <c r="AK115">
        <f>IF(AND(BA115=0,$B115&gt;=U$22,$B115&lt;=U$22+ANALYSIS!$G$5,$C115&gt;=U$23,$C115&lt;=U$23+ANALYSIS!$G$6),1,0)</f>
        <v>0</v>
      </c>
      <c r="AL115">
        <f>IF(AND(BB115=0,$B115&gt;=V$22,$B115&lt;=V$22+ANALYSIS!$G$5,$C115&gt;=V$23,$C115&lt;=V$23+ANALYSIS!$G$6),1,0)</f>
        <v>0</v>
      </c>
      <c r="AM115">
        <f>IF(AND(BC115=0,$B115&gt;=W$22,$B115&lt;=W$22+ANALYSIS!$G$5,$C115&gt;=W$23,$C115&lt;=W$23+ANALYSIS!$G$6),1,0)</f>
        <v>0</v>
      </c>
      <c r="AN115">
        <f>IF(AND(BD115=0,$B115&gt;=X$22,$B115&lt;=X$22+ANALYSIS!$G$5,$C115&gt;=X$23,$C115&lt;=X$23+ANALYSIS!$G$6),1,0)</f>
        <v>0</v>
      </c>
      <c r="AO115">
        <f>IF(AND(BE115=0,$B115&gt;=Y$22,$B115&lt;=Y$22+ANALYSIS!$G$5,$C115&gt;=Y$23,$C115&lt;=Y$23+ANALYSIS!$G$6),1,0)</f>
        <v>0</v>
      </c>
      <c r="AP115">
        <f>IF(AND(BF115=0,$B115&gt;=Z$22,$B115&lt;=Z$22+ANALYSIS!$G$5,$C115&gt;=Z$23,$C115&lt;=Z$23+ANALYSIS!$G$6),1,0)</f>
        <v>0</v>
      </c>
      <c r="AQ115">
        <f>IF(AND(BG115=0,$B115&gt;=AA$22,$B115&lt;=AA$22+ANALYSIS!$G$5,$C115&gt;=AA$23,$C115&lt;=AA$23+ANALYSIS!$G$6),1,0)</f>
        <v>0</v>
      </c>
      <c r="AR115">
        <f>IF(AND(BH115=0,$B115&gt;=AB$22,$B115&lt;=AB$22+ANALYSIS!$G$5,$C115&gt;=AB$23,$C115&lt;=AB$23+ANALYSIS!$G$6),1,0)</f>
        <v>1</v>
      </c>
      <c r="AS115">
        <f>IF(AND(BI115=0,$B115&gt;=AC$22,$B115&lt;=AC$22+ANALYSIS!$G$5,$C115&gt;=AC$23,$C115&lt;=AC$23+ANALYSIS!$G$6),1,0)</f>
        <v>0</v>
      </c>
      <c r="AT115">
        <f>IF(AND(BJ115=0,$B115&gt;=AD$22,$B115&lt;=AD$22+ANALYSIS!$G$5,$C115&gt;=AD$23,$C115&lt;=AD$23+ANALYSIS!$G$6),1,0)</f>
        <v>0</v>
      </c>
      <c r="AU115">
        <f>IF(AND(BK115=0,$B115&gt;=AE$22,$B115&lt;=AE$22+ANALYSIS!$G$5,$C115&gt;=AE$23,$C115&lt;=AE$23+ANALYSIS!$G$6),1,0)</f>
        <v>0</v>
      </c>
      <c r="AV115">
        <f>IF(AND(BL115=0,$B115&gt;=AF$22,$B115&lt;=AF$22+ANALYSIS!$G$5,$C115&gt;=AF$23,$C115&lt;=AF$23+ANALYSIS!$G$6),1,0)</f>
        <v>0</v>
      </c>
      <c r="AX115">
        <v>0</v>
      </c>
      <c r="AY115">
        <f t="shared" si="29"/>
        <v>0</v>
      </c>
      <c r="AZ115">
        <f t="shared" si="30"/>
        <v>0</v>
      </c>
      <c r="BA115">
        <f t="shared" si="31"/>
        <v>0</v>
      </c>
      <c r="BB115">
        <f t="shared" si="32"/>
        <v>0</v>
      </c>
      <c r="BC115">
        <f t="shared" si="33"/>
        <v>0</v>
      </c>
      <c r="BD115">
        <f t="shared" si="34"/>
        <v>0</v>
      </c>
      <c r="BE115">
        <f t="shared" si="35"/>
        <v>0</v>
      </c>
      <c r="BF115">
        <f t="shared" si="36"/>
        <v>0</v>
      </c>
      <c r="BG115">
        <f t="shared" si="37"/>
        <v>0</v>
      </c>
      <c r="BH115">
        <f t="shared" si="38"/>
        <v>0</v>
      </c>
      <c r="BI115">
        <f t="shared" si="39"/>
        <v>1</v>
      </c>
      <c r="BJ115">
        <f t="shared" si="40"/>
        <v>1</v>
      </c>
      <c r="BK115">
        <f t="shared" si="41"/>
        <v>1</v>
      </c>
      <c r="BL115">
        <f t="shared" si="42"/>
        <v>1</v>
      </c>
      <c r="BM115">
        <f t="shared" si="43"/>
        <v>1</v>
      </c>
    </row>
    <row r="116" spans="1:65" x14ac:dyDescent="0.25">
      <c r="A116" s="41" t="str">
        <f>ANALYSIS!B122</f>
        <v>20-42</v>
      </c>
      <c r="B116" s="41">
        <f>ANALYSIS!E122</f>
        <v>52</v>
      </c>
      <c r="C116" s="41">
        <f>ANALYSIS!G122</f>
        <v>23.78</v>
      </c>
      <c r="D116" s="41">
        <f t="shared" si="28"/>
        <v>6</v>
      </c>
      <c r="R116" cm="1">
        <f t="array" ref="R116">IF(AX116&gt;0,0,SUMPRODUCT((AX$25:AX$124=0)*($B$25:$B$124&gt;=$B116)*($B$25:$B$124&lt;=$B116+ANALYSIS!$G$5)*($C$25:$C$124&gt;=$C116)*($C$25:$C$124&lt;=$C116+ANALYSIS!$G$6)))</f>
        <v>9</v>
      </c>
      <c r="S116" cm="1">
        <f t="array" ref="S116">IF(AY116&gt;0,0,SUMPRODUCT((AY$25:AY$124=0)*($B$25:$B$124&gt;=$B116)*($B$25:$B$124&lt;=$B116+ANALYSIS!$G$5)*($C$25:$C$124&gt;=$C116)*($C$25:$C$124&lt;=$C116+ANALYSIS!$G$6)))</f>
        <v>3</v>
      </c>
      <c r="T116" cm="1">
        <f t="array" ref="T116">IF(AZ116&gt;0,0,SUMPRODUCT((AZ$25:AZ$124=0)*($B$25:$B$124&gt;=$B116)*($B$25:$B$124&lt;=$B116+ANALYSIS!$G$5)*($C$25:$C$124&gt;=$C116)*($C$25:$C$124&lt;=$C116+ANALYSIS!$G$6)))</f>
        <v>3</v>
      </c>
      <c r="U116" cm="1">
        <f t="array" ref="U116">IF(BA116&gt;0,0,SUMPRODUCT((BA$25:BA$124=0)*($B$25:$B$124&gt;=$B116)*($B$25:$B$124&lt;=$B116+ANALYSIS!$G$5)*($C$25:$C$124&gt;=$C116)*($C$25:$C$124&lt;=$C116+ANALYSIS!$G$6)))</f>
        <v>3</v>
      </c>
      <c r="V116" cm="1">
        <f t="array" ref="V116">IF(BB116&gt;0,0,SUMPRODUCT((BB$25:BB$124=0)*($B$25:$B$124&gt;=$B116)*($B$25:$B$124&lt;=$B116+ANALYSIS!$G$5)*($C$25:$C$124&gt;=$C116)*($C$25:$C$124&lt;=$C116+ANALYSIS!$G$6)))</f>
        <v>3</v>
      </c>
      <c r="W116" cm="1">
        <f t="array" ref="W116">IF(BC116&gt;0,0,SUMPRODUCT((BC$25:BC$124=0)*($B$25:$B$124&gt;=$B116)*($B$25:$B$124&lt;=$B116+ANALYSIS!$G$5)*($C$25:$C$124&gt;=$C116)*($C$25:$C$124&lt;=$C116+ANALYSIS!$G$6)))</f>
        <v>3</v>
      </c>
      <c r="X116" cm="1">
        <f t="array" ref="X116">IF(BD116&gt;0,0,SUMPRODUCT((BD$25:BD$124=0)*($B$25:$B$124&gt;=$B116)*($B$25:$B$124&lt;=$B116+ANALYSIS!$G$5)*($C$25:$C$124&gt;=$C116)*($C$25:$C$124&lt;=$C116+ANALYSIS!$G$6)))</f>
        <v>0</v>
      </c>
      <c r="Y116" cm="1">
        <f t="array" ref="Y116">IF(BE116&gt;0,0,SUMPRODUCT((BE$25:BE$124=0)*($B$25:$B$124&gt;=$B116)*($B$25:$B$124&lt;=$B116+ANALYSIS!$G$5)*($C$25:$C$124&gt;=$C116)*($C$25:$C$124&lt;=$C116+ANALYSIS!$G$6)))</f>
        <v>0</v>
      </c>
      <c r="Z116" cm="1">
        <f t="array" ref="Z116">IF(BF116&gt;0,0,SUMPRODUCT((BF$25:BF$124=0)*($B$25:$B$124&gt;=$B116)*($B$25:$B$124&lt;=$B116+ANALYSIS!$G$5)*($C$25:$C$124&gt;=$C116)*($C$25:$C$124&lt;=$C116+ANALYSIS!$G$6)))</f>
        <v>0</v>
      </c>
      <c r="AA116" cm="1">
        <f t="array" ref="AA116">IF(BG116&gt;0,0,SUMPRODUCT((BG$25:BG$124=0)*($B$25:$B$124&gt;=$B116)*($B$25:$B$124&lt;=$B116+ANALYSIS!$G$5)*($C$25:$C$124&gt;=$C116)*($C$25:$C$124&lt;=$C116+ANALYSIS!$G$6)))</f>
        <v>0</v>
      </c>
      <c r="AB116" cm="1">
        <f t="array" ref="AB116">IF(BH116&gt;0,0,SUMPRODUCT((BH$25:BH$124=0)*($B$25:$B$124&gt;=$B116)*($B$25:$B$124&lt;=$B116+ANALYSIS!$G$5)*($C$25:$C$124&gt;=$C116)*($C$25:$C$124&lt;=$C116+ANALYSIS!$G$6)))</f>
        <v>0</v>
      </c>
      <c r="AC116" cm="1">
        <f t="array" ref="AC116">IF(BI116&gt;0,0,SUMPRODUCT((BI$25:BI$124=0)*($B$25:$B$124&gt;=$B116)*($B$25:$B$124&lt;=$B116+ANALYSIS!$G$5)*($C$25:$C$124&gt;=$C116)*($C$25:$C$124&lt;=$C116+ANALYSIS!$G$6)))</f>
        <v>0</v>
      </c>
      <c r="AD116" cm="1">
        <f t="array" ref="AD116">IF(BJ116&gt;0,0,SUMPRODUCT((BJ$25:BJ$124=0)*($B$25:$B$124&gt;=$B116)*($B$25:$B$124&lt;=$B116+ANALYSIS!$G$5)*($C$25:$C$124&gt;=$C116)*($C$25:$C$124&lt;=$C116+ANALYSIS!$G$6)))</f>
        <v>0</v>
      </c>
      <c r="AE116" cm="1">
        <f t="array" ref="AE116">IF(BK116&gt;0,0,SUMPRODUCT((BK$25:BK$124=0)*($B$25:$B$124&gt;=$B116)*($B$25:$B$124&lt;=$B116+ANALYSIS!$G$5)*($C$25:$C$124&gt;=$C116)*($C$25:$C$124&lt;=$C116+ANALYSIS!$G$6)))</f>
        <v>0</v>
      </c>
      <c r="AF116" cm="1">
        <f t="array" ref="AF116">IF(BL116&gt;0,0,SUMPRODUCT((BL$25:BL$124=0)*($B$25:$B$124&gt;=$B116)*($B$25:$B$124&lt;=$B116+ANALYSIS!$G$5)*($C$25:$C$124&gt;=$C116)*($C$25:$C$124&lt;=$C116+ANALYSIS!$G$6)))</f>
        <v>0</v>
      </c>
      <c r="AH116">
        <f>IF(AND(AX116=0,$B116&gt;=R$22,$B116&lt;=R$22+ANALYSIS!$G$5,$C116&gt;=R$23,$C116&lt;=R$23+ANALYSIS!$G$6),1,0)</f>
        <v>0</v>
      </c>
      <c r="AI116">
        <f>IF(AND(AY116=0,$B116&gt;=S$22,$B116&lt;=S$22+ANALYSIS!$G$5,$C116&gt;=S$23,$C116&lt;=S$23+ANALYSIS!$G$6),1,0)</f>
        <v>0</v>
      </c>
      <c r="AJ116">
        <f>IF(AND(AZ116=0,$B116&gt;=T$22,$B116&lt;=T$22+ANALYSIS!$G$5,$C116&gt;=T$23,$C116&lt;=T$23+ANALYSIS!$G$6),1,0)</f>
        <v>0</v>
      </c>
      <c r="AK116">
        <f>IF(AND(BA116=0,$B116&gt;=U$22,$B116&lt;=U$22+ANALYSIS!$G$5,$C116&gt;=U$23,$C116&lt;=U$23+ANALYSIS!$G$6),1,0)</f>
        <v>0</v>
      </c>
      <c r="AL116">
        <f>IF(AND(BB116=0,$B116&gt;=V$22,$B116&lt;=V$22+ANALYSIS!$G$5,$C116&gt;=V$23,$C116&lt;=V$23+ANALYSIS!$G$6),1,0)</f>
        <v>0</v>
      </c>
      <c r="AM116">
        <f>IF(AND(BC116=0,$B116&gt;=W$22,$B116&lt;=W$22+ANALYSIS!$G$5,$C116&gt;=W$23,$C116&lt;=W$23+ANALYSIS!$G$6),1,0)</f>
        <v>1</v>
      </c>
      <c r="AN116">
        <f>IF(AND(BD116=0,$B116&gt;=X$22,$B116&lt;=X$22+ANALYSIS!$G$5,$C116&gt;=X$23,$C116&lt;=X$23+ANALYSIS!$G$6),1,0)</f>
        <v>0</v>
      </c>
      <c r="AO116">
        <f>IF(AND(BE116=0,$B116&gt;=Y$22,$B116&lt;=Y$22+ANALYSIS!$G$5,$C116&gt;=Y$23,$C116&lt;=Y$23+ANALYSIS!$G$6),1,0)</f>
        <v>0</v>
      </c>
      <c r="AP116">
        <f>IF(AND(BF116=0,$B116&gt;=Z$22,$B116&lt;=Z$22+ANALYSIS!$G$5,$C116&gt;=Z$23,$C116&lt;=Z$23+ANALYSIS!$G$6),1,0)</f>
        <v>0</v>
      </c>
      <c r="AQ116">
        <f>IF(AND(BG116=0,$B116&gt;=AA$22,$B116&lt;=AA$22+ANALYSIS!$G$5,$C116&gt;=AA$23,$C116&lt;=AA$23+ANALYSIS!$G$6),1,0)</f>
        <v>0</v>
      </c>
      <c r="AR116">
        <f>IF(AND(BH116=0,$B116&gt;=AB$22,$B116&lt;=AB$22+ANALYSIS!$G$5,$C116&gt;=AB$23,$C116&lt;=AB$23+ANALYSIS!$G$6),1,0)</f>
        <v>0</v>
      </c>
      <c r="AS116">
        <f>IF(AND(BI116=0,$B116&gt;=AC$22,$B116&lt;=AC$22+ANALYSIS!$G$5,$C116&gt;=AC$23,$C116&lt;=AC$23+ANALYSIS!$G$6),1,0)</f>
        <v>0</v>
      </c>
      <c r="AT116">
        <f>IF(AND(BJ116=0,$B116&gt;=AD$22,$B116&lt;=AD$22+ANALYSIS!$G$5,$C116&gt;=AD$23,$C116&lt;=AD$23+ANALYSIS!$G$6),1,0)</f>
        <v>0</v>
      </c>
      <c r="AU116">
        <f>IF(AND(BK116=0,$B116&gt;=AE$22,$B116&lt;=AE$22+ANALYSIS!$G$5,$C116&gt;=AE$23,$C116&lt;=AE$23+ANALYSIS!$G$6),1,0)</f>
        <v>0</v>
      </c>
      <c r="AV116">
        <f>IF(AND(BL116=0,$B116&gt;=AF$22,$B116&lt;=AF$22+ANALYSIS!$G$5,$C116&gt;=AF$23,$C116&lt;=AF$23+ANALYSIS!$G$6),1,0)</f>
        <v>0</v>
      </c>
      <c r="AX116">
        <v>0</v>
      </c>
      <c r="AY116">
        <f t="shared" si="29"/>
        <v>0</v>
      </c>
      <c r="AZ116">
        <f t="shared" si="30"/>
        <v>0</v>
      </c>
      <c r="BA116">
        <f t="shared" si="31"/>
        <v>0</v>
      </c>
      <c r="BB116">
        <f t="shared" si="32"/>
        <v>0</v>
      </c>
      <c r="BC116">
        <f t="shared" si="33"/>
        <v>0</v>
      </c>
      <c r="BD116">
        <f t="shared" si="34"/>
        <v>1</v>
      </c>
      <c r="BE116">
        <f t="shared" si="35"/>
        <v>1</v>
      </c>
      <c r="BF116">
        <f t="shared" si="36"/>
        <v>1</v>
      </c>
      <c r="BG116">
        <f t="shared" si="37"/>
        <v>1</v>
      </c>
      <c r="BH116">
        <f t="shared" si="38"/>
        <v>1</v>
      </c>
      <c r="BI116">
        <f t="shared" si="39"/>
        <v>1</v>
      </c>
      <c r="BJ116">
        <f t="shared" si="40"/>
        <v>1</v>
      </c>
      <c r="BK116">
        <f t="shared" si="41"/>
        <v>1</v>
      </c>
      <c r="BL116">
        <f t="shared" si="42"/>
        <v>1</v>
      </c>
      <c r="BM116">
        <f t="shared" si="43"/>
        <v>1</v>
      </c>
    </row>
    <row r="117" spans="1:65" x14ac:dyDescent="0.25">
      <c r="A117" s="41" t="str">
        <f>ANALYSIS!B123</f>
        <v>20-43</v>
      </c>
      <c r="B117" s="41">
        <f>ANALYSIS!E123</f>
        <v>53</v>
      </c>
      <c r="C117" s="41">
        <f>ANALYSIS!G123</f>
        <v>25.3</v>
      </c>
      <c r="D117" s="41" t="str">
        <f t="shared" si="28"/>
        <v/>
      </c>
      <c r="R117" cm="1">
        <f t="array" ref="R117">IF(AX117&gt;0,0,SUMPRODUCT((AX$25:AX$124=0)*($B$25:$B$124&gt;=$B117)*($B$25:$B$124&lt;=$B117+ANALYSIS!$G$5)*($C$25:$C$124&gt;=$C117)*($C$25:$C$124&lt;=$C117+ANALYSIS!$G$6)))</f>
        <v>5</v>
      </c>
      <c r="S117" cm="1">
        <f t="array" ref="S117">IF(AY117&gt;0,0,SUMPRODUCT((AY$25:AY$124=0)*($B$25:$B$124&gt;=$B117)*($B$25:$B$124&lt;=$B117+ANALYSIS!$G$5)*($C$25:$C$124&gt;=$C117)*($C$25:$C$124&lt;=$C117+ANALYSIS!$G$6)))</f>
        <v>5</v>
      </c>
      <c r="T117" cm="1">
        <f t="array" ref="T117">IF(AZ117&gt;0,0,SUMPRODUCT((AZ$25:AZ$124=0)*($B$25:$B$124&gt;=$B117)*($B$25:$B$124&lt;=$B117+ANALYSIS!$G$5)*($C$25:$C$124&gt;=$C117)*($C$25:$C$124&lt;=$C117+ANALYSIS!$G$6)))</f>
        <v>5</v>
      </c>
      <c r="U117" cm="1">
        <f t="array" ref="U117">IF(BA117&gt;0,0,SUMPRODUCT((BA$25:BA$124=0)*($B$25:$B$124&gt;=$B117)*($B$25:$B$124&lt;=$B117+ANALYSIS!$G$5)*($C$25:$C$124&gt;=$C117)*($C$25:$C$124&lt;=$C117+ANALYSIS!$G$6)))</f>
        <v>2</v>
      </c>
      <c r="V117" cm="1">
        <f t="array" ref="V117">IF(BB117&gt;0,0,SUMPRODUCT((BB$25:BB$124=0)*($B$25:$B$124&gt;=$B117)*($B$25:$B$124&lt;=$B117+ANALYSIS!$G$5)*($C$25:$C$124&gt;=$C117)*($C$25:$C$124&lt;=$C117+ANALYSIS!$G$6)))</f>
        <v>2</v>
      </c>
      <c r="W117" cm="1">
        <f t="array" ref="W117">IF(BC117&gt;0,0,SUMPRODUCT((BC$25:BC$124=0)*($B$25:$B$124&gt;=$B117)*($B$25:$B$124&lt;=$B117+ANALYSIS!$G$5)*($C$25:$C$124&gt;=$C117)*($C$25:$C$124&lt;=$C117+ANALYSIS!$G$6)))</f>
        <v>2</v>
      </c>
      <c r="X117" cm="1">
        <f t="array" ref="X117">IF(BD117&gt;0,0,SUMPRODUCT((BD$25:BD$124=0)*($B$25:$B$124&gt;=$B117)*($B$25:$B$124&lt;=$B117+ANALYSIS!$G$5)*($C$25:$C$124&gt;=$C117)*($C$25:$C$124&lt;=$C117+ANALYSIS!$G$6)))</f>
        <v>2</v>
      </c>
      <c r="Y117" cm="1">
        <f t="array" ref="Y117">IF(BE117&gt;0,0,SUMPRODUCT((BE$25:BE$124=0)*($B$25:$B$124&gt;=$B117)*($B$25:$B$124&lt;=$B117+ANALYSIS!$G$5)*($C$25:$C$124&gt;=$C117)*($C$25:$C$124&lt;=$C117+ANALYSIS!$G$6)))</f>
        <v>2</v>
      </c>
      <c r="Z117" cm="1">
        <f t="array" ref="Z117">IF(BF117&gt;0,0,SUMPRODUCT((BF$25:BF$124=0)*($B$25:$B$124&gt;=$B117)*($B$25:$B$124&lt;=$B117+ANALYSIS!$G$5)*($C$25:$C$124&gt;=$C117)*($C$25:$C$124&lt;=$C117+ANALYSIS!$G$6)))</f>
        <v>2</v>
      </c>
      <c r="AA117" cm="1">
        <f t="array" ref="AA117">IF(BG117&gt;0,0,SUMPRODUCT((BG$25:BG$124=0)*($B$25:$B$124&gt;=$B117)*($B$25:$B$124&lt;=$B117+ANALYSIS!$G$5)*($C$25:$C$124&gt;=$C117)*($C$25:$C$124&lt;=$C117+ANALYSIS!$G$6)))</f>
        <v>2</v>
      </c>
      <c r="AB117" cm="1">
        <f t="array" ref="AB117">IF(BH117&gt;0,0,SUMPRODUCT((BH$25:BH$124=0)*($B$25:$B$124&gt;=$B117)*($B$25:$B$124&lt;=$B117+ANALYSIS!$G$5)*($C$25:$C$124&gt;=$C117)*($C$25:$C$124&lt;=$C117+ANALYSIS!$G$6)))</f>
        <v>2</v>
      </c>
      <c r="AC117" cm="1">
        <f t="array" ref="AC117">IF(BI117&gt;0,0,SUMPRODUCT((BI$25:BI$124=0)*($B$25:$B$124&gt;=$B117)*($B$25:$B$124&lt;=$B117+ANALYSIS!$G$5)*($C$25:$C$124&gt;=$C117)*($C$25:$C$124&lt;=$C117+ANALYSIS!$G$6)))</f>
        <v>1</v>
      </c>
      <c r="AD117" cm="1">
        <f t="array" ref="AD117">IF(BJ117&gt;0,0,SUMPRODUCT((BJ$25:BJ$124=0)*($B$25:$B$124&gt;=$B117)*($B$25:$B$124&lt;=$B117+ANALYSIS!$G$5)*($C$25:$C$124&gt;=$C117)*($C$25:$C$124&lt;=$C117+ANALYSIS!$G$6)))</f>
        <v>1</v>
      </c>
      <c r="AE117" cm="1">
        <f t="array" ref="AE117">IF(BK117&gt;0,0,SUMPRODUCT((BK$25:BK$124=0)*($B$25:$B$124&gt;=$B117)*($B$25:$B$124&lt;=$B117+ANALYSIS!$G$5)*($C$25:$C$124&gt;=$C117)*($C$25:$C$124&lt;=$C117+ANALYSIS!$G$6)))</f>
        <v>1</v>
      </c>
      <c r="AF117" cm="1">
        <f t="array" ref="AF117">IF(BL117&gt;0,0,SUMPRODUCT((BL$25:BL$124=0)*($B$25:$B$124&gt;=$B117)*($B$25:$B$124&lt;=$B117+ANALYSIS!$G$5)*($C$25:$C$124&gt;=$C117)*($C$25:$C$124&lt;=$C117+ANALYSIS!$G$6)))</f>
        <v>1</v>
      </c>
      <c r="AH117">
        <f>IF(AND(AX117=0,$B117&gt;=R$22,$B117&lt;=R$22+ANALYSIS!$G$5,$C117&gt;=R$23,$C117&lt;=R$23+ANALYSIS!$G$6),1,0)</f>
        <v>0</v>
      </c>
      <c r="AI117">
        <f>IF(AND(AY117=0,$B117&gt;=S$22,$B117&lt;=S$22+ANALYSIS!$G$5,$C117&gt;=S$23,$C117&lt;=S$23+ANALYSIS!$G$6),1,0)</f>
        <v>0</v>
      </c>
      <c r="AJ117">
        <f>IF(AND(AZ117=0,$B117&gt;=T$22,$B117&lt;=T$22+ANALYSIS!$G$5,$C117&gt;=T$23,$C117&lt;=T$23+ANALYSIS!$G$6),1,0)</f>
        <v>0</v>
      </c>
      <c r="AK117">
        <f>IF(AND(BA117=0,$B117&gt;=U$22,$B117&lt;=U$22+ANALYSIS!$G$5,$C117&gt;=U$23,$C117&lt;=U$23+ANALYSIS!$G$6),1,0)</f>
        <v>0</v>
      </c>
      <c r="AL117">
        <f>IF(AND(BB117=0,$B117&gt;=V$22,$B117&lt;=V$22+ANALYSIS!$G$5,$C117&gt;=V$23,$C117&lt;=V$23+ANALYSIS!$G$6),1,0)</f>
        <v>0</v>
      </c>
      <c r="AM117">
        <f>IF(AND(BC117=0,$B117&gt;=W$22,$B117&lt;=W$22+ANALYSIS!$G$5,$C117&gt;=W$23,$C117&lt;=W$23+ANALYSIS!$G$6),1,0)</f>
        <v>0</v>
      </c>
      <c r="AN117">
        <f>IF(AND(BD117=0,$B117&gt;=X$22,$B117&lt;=X$22+ANALYSIS!$G$5,$C117&gt;=X$23,$C117&lt;=X$23+ANALYSIS!$G$6),1,0)</f>
        <v>0</v>
      </c>
      <c r="AO117">
        <f>IF(AND(BE117=0,$B117&gt;=Y$22,$B117&lt;=Y$22+ANALYSIS!$G$5,$C117&gt;=Y$23,$C117&lt;=Y$23+ANALYSIS!$G$6),1,0)</f>
        <v>0</v>
      </c>
      <c r="AP117">
        <f>IF(AND(BF117=0,$B117&gt;=Z$22,$B117&lt;=Z$22+ANALYSIS!$G$5,$C117&gt;=Z$23,$C117&lt;=Z$23+ANALYSIS!$G$6),1,0)</f>
        <v>0</v>
      </c>
      <c r="AQ117">
        <f>IF(AND(BG117=0,$B117&gt;=AA$22,$B117&lt;=AA$22+ANALYSIS!$G$5,$C117&gt;=AA$23,$C117&lt;=AA$23+ANALYSIS!$G$6),1,0)</f>
        <v>0</v>
      </c>
      <c r="AR117">
        <f>IF(AND(BH117=0,$B117&gt;=AB$22,$B117&lt;=AB$22+ANALYSIS!$G$5,$C117&gt;=AB$23,$C117&lt;=AB$23+ANALYSIS!$G$6),1,0)</f>
        <v>0</v>
      </c>
      <c r="AS117">
        <f>IF(AND(BI117=0,$B117&gt;=AC$22,$B117&lt;=AC$22+ANALYSIS!$G$5,$C117&gt;=AC$23,$C117&lt;=AC$23+ANALYSIS!$G$6),1,0)</f>
        <v>0</v>
      </c>
      <c r="AT117">
        <f>IF(AND(BJ117=0,$B117&gt;=AD$22,$B117&lt;=AD$22+ANALYSIS!$G$5,$C117&gt;=AD$23,$C117&lt;=AD$23+ANALYSIS!$G$6),1,0)</f>
        <v>0</v>
      </c>
      <c r="AU117">
        <f>IF(AND(BK117=0,$B117&gt;=AE$22,$B117&lt;=AE$22+ANALYSIS!$G$5,$C117&gt;=AE$23,$C117&lt;=AE$23+ANALYSIS!$G$6),1,0)</f>
        <v>0</v>
      </c>
      <c r="AV117">
        <f>IF(AND(BL117=0,$B117&gt;=AF$22,$B117&lt;=AF$22+ANALYSIS!$G$5,$C117&gt;=AF$23,$C117&lt;=AF$23+ANALYSIS!$G$6),1,0)</f>
        <v>0</v>
      </c>
      <c r="AX117">
        <v>0</v>
      </c>
      <c r="AY117">
        <f t="shared" si="29"/>
        <v>0</v>
      </c>
      <c r="AZ117">
        <f t="shared" si="30"/>
        <v>0</v>
      </c>
      <c r="BA117">
        <f t="shared" si="31"/>
        <v>0</v>
      </c>
      <c r="BB117">
        <f t="shared" si="32"/>
        <v>0</v>
      </c>
      <c r="BC117">
        <f t="shared" si="33"/>
        <v>0</v>
      </c>
      <c r="BD117">
        <f t="shared" si="34"/>
        <v>0</v>
      </c>
      <c r="BE117">
        <f t="shared" si="35"/>
        <v>0</v>
      </c>
      <c r="BF117">
        <f t="shared" si="36"/>
        <v>0</v>
      </c>
      <c r="BG117">
        <f t="shared" si="37"/>
        <v>0</v>
      </c>
      <c r="BH117">
        <f t="shared" si="38"/>
        <v>0</v>
      </c>
      <c r="BI117">
        <f t="shared" si="39"/>
        <v>0</v>
      </c>
      <c r="BJ117">
        <f t="shared" si="40"/>
        <v>0</v>
      </c>
      <c r="BK117">
        <f t="shared" si="41"/>
        <v>0</v>
      </c>
      <c r="BL117">
        <f t="shared" si="42"/>
        <v>0</v>
      </c>
      <c r="BM117">
        <f t="shared" si="43"/>
        <v>0</v>
      </c>
    </row>
    <row r="118" spans="1:65" x14ac:dyDescent="0.25">
      <c r="A118" s="41" t="str">
        <f>ANALYSIS!B124</f>
        <v>20-44</v>
      </c>
      <c r="B118" s="41">
        <f>ANALYSIS!E124</f>
        <v>55</v>
      </c>
      <c r="C118" s="41">
        <f>ANALYSIS!G124</f>
        <v>23.85</v>
      </c>
      <c r="D118" s="41">
        <f t="shared" si="28"/>
        <v>1</v>
      </c>
      <c r="R118" cm="1">
        <f t="array" ref="R118">IF(AX118&gt;0,0,SUMPRODUCT((AX$25:AX$124=0)*($B$25:$B$124&gt;=$B118)*($B$25:$B$124&lt;=$B118+ANALYSIS!$G$5)*($C$25:$C$124&gt;=$C118)*($C$25:$C$124&lt;=$C118+ANALYSIS!$G$6)))</f>
        <v>14</v>
      </c>
      <c r="S118" cm="1">
        <f t="array" ref="S118">IF(AY118&gt;0,0,SUMPRODUCT((AY$25:AY$124=0)*($B$25:$B$124&gt;=$B118)*($B$25:$B$124&lt;=$B118+ANALYSIS!$G$5)*($C$25:$C$124&gt;=$C118)*($C$25:$C$124&lt;=$C118+ANALYSIS!$G$6)))</f>
        <v>0</v>
      </c>
      <c r="T118" cm="1">
        <f t="array" ref="T118">IF(AZ118&gt;0,0,SUMPRODUCT((AZ$25:AZ$124=0)*($B$25:$B$124&gt;=$B118)*($B$25:$B$124&lt;=$B118+ANALYSIS!$G$5)*($C$25:$C$124&gt;=$C118)*($C$25:$C$124&lt;=$C118+ANALYSIS!$G$6)))</f>
        <v>0</v>
      </c>
      <c r="U118" cm="1">
        <f t="array" ref="U118">IF(BA118&gt;0,0,SUMPRODUCT((BA$25:BA$124=0)*($B$25:$B$124&gt;=$B118)*($B$25:$B$124&lt;=$B118+ANALYSIS!$G$5)*($C$25:$C$124&gt;=$C118)*($C$25:$C$124&lt;=$C118+ANALYSIS!$G$6)))</f>
        <v>0</v>
      </c>
      <c r="V118" cm="1">
        <f t="array" ref="V118">IF(BB118&gt;0,0,SUMPRODUCT((BB$25:BB$124=0)*($B$25:$B$124&gt;=$B118)*($B$25:$B$124&lt;=$B118+ANALYSIS!$G$5)*($C$25:$C$124&gt;=$C118)*($C$25:$C$124&lt;=$C118+ANALYSIS!$G$6)))</f>
        <v>0</v>
      </c>
      <c r="W118" cm="1">
        <f t="array" ref="W118">IF(BC118&gt;0,0,SUMPRODUCT((BC$25:BC$124=0)*($B$25:$B$124&gt;=$B118)*($B$25:$B$124&lt;=$B118+ANALYSIS!$G$5)*($C$25:$C$124&gt;=$C118)*($C$25:$C$124&lt;=$C118+ANALYSIS!$G$6)))</f>
        <v>0</v>
      </c>
      <c r="X118" cm="1">
        <f t="array" ref="X118">IF(BD118&gt;0,0,SUMPRODUCT((BD$25:BD$124=0)*($B$25:$B$124&gt;=$B118)*($B$25:$B$124&lt;=$B118+ANALYSIS!$G$5)*($C$25:$C$124&gt;=$C118)*($C$25:$C$124&lt;=$C118+ANALYSIS!$G$6)))</f>
        <v>0</v>
      </c>
      <c r="Y118" cm="1">
        <f t="array" ref="Y118">IF(BE118&gt;0,0,SUMPRODUCT((BE$25:BE$124=0)*($B$25:$B$124&gt;=$B118)*($B$25:$B$124&lt;=$B118+ANALYSIS!$G$5)*($C$25:$C$124&gt;=$C118)*($C$25:$C$124&lt;=$C118+ANALYSIS!$G$6)))</f>
        <v>0</v>
      </c>
      <c r="Z118" cm="1">
        <f t="array" ref="Z118">IF(BF118&gt;0,0,SUMPRODUCT((BF$25:BF$124=0)*($B$25:$B$124&gt;=$B118)*($B$25:$B$124&lt;=$B118+ANALYSIS!$G$5)*($C$25:$C$124&gt;=$C118)*($C$25:$C$124&lt;=$C118+ANALYSIS!$G$6)))</f>
        <v>0</v>
      </c>
      <c r="AA118" cm="1">
        <f t="array" ref="AA118">IF(BG118&gt;0,0,SUMPRODUCT((BG$25:BG$124=0)*($B$25:$B$124&gt;=$B118)*($B$25:$B$124&lt;=$B118+ANALYSIS!$G$5)*($C$25:$C$124&gt;=$C118)*($C$25:$C$124&lt;=$C118+ANALYSIS!$G$6)))</f>
        <v>0</v>
      </c>
      <c r="AB118" cm="1">
        <f t="array" ref="AB118">IF(BH118&gt;0,0,SUMPRODUCT((BH$25:BH$124=0)*($B$25:$B$124&gt;=$B118)*($B$25:$B$124&lt;=$B118+ANALYSIS!$G$5)*($C$25:$C$124&gt;=$C118)*($C$25:$C$124&lt;=$C118+ANALYSIS!$G$6)))</f>
        <v>0</v>
      </c>
      <c r="AC118" cm="1">
        <f t="array" ref="AC118">IF(BI118&gt;0,0,SUMPRODUCT((BI$25:BI$124=0)*($B$25:$B$124&gt;=$B118)*($B$25:$B$124&lt;=$B118+ANALYSIS!$G$5)*($C$25:$C$124&gt;=$C118)*($C$25:$C$124&lt;=$C118+ANALYSIS!$G$6)))</f>
        <v>0</v>
      </c>
      <c r="AD118" cm="1">
        <f t="array" ref="AD118">IF(BJ118&gt;0,0,SUMPRODUCT((BJ$25:BJ$124=0)*($B$25:$B$124&gt;=$B118)*($B$25:$B$124&lt;=$B118+ANALYSIS!$G$5)*($C$25:$C$124&gt;=$C118)*($C$25:$C$124&lt;=$C118+ANALYSIS!$G$6)))</f>
        <v>0</v>
      </c>
      <c r="AE118" cm="1">
        <f t="array" ref="AE118">IF(BK118&gt;0,0,SUMPRODUCT((BK$25:BK$124=0)*($B$25:$B$124&gt;=$B118)*($B$25:$B$124&lt;=$B118+ANALYSIS!$G$5)*($C$25:$C$124&gt;=$C118)*($C$25:$C$124&lt;=$C118+ANALYSIS!$G$6)))</f>
        <v>0</v>
      </c>
      <c r="AF118" cm="1">
        <f t="array" ref="AF118">IF(BL118&gt;0,0,SUMPRODUCT((BL$25:BL$124=0)*($B$25:$B$124&gt;=$B118)*($B$25:$B$124&lt;=$B118+ANALYSIS!$G$5)*($C$25:$C$124&gt;=$C118)*($C$25:$C$124&lt;=$C118+ANALYSIS!$G$6)))</f>
        <v>0</v>
      </c>
      <c r="AH118">
        <f>IF(AND(AX118=0,$B118&gt;=R$22,$B118&lt;=R$22+ANALYSIS!$G$5,$C118&gt;=R$23,$C118&lt;=R$23+ANALYSIS!$G$6),1,0)</f>
        <v>1</v>
      </c>
      <c r="AI118">
        <f>IF(AND(AY118=0,$B118&gt;=S$22,$B118&lt;=S$22+ANALYSIS!$G$5,$C118&gt;=S$23,$C118&lt;=S$23+ANALYSIS!$G$6),1,0)</f>
        <v>0</v>
      </c>
      <c r="AJ118">
        <f>IF(AND(AZ118=0,$B118&gt;=T$22,$B118&lt;=T$22+ANALYSIS!$G$5,$C118&gt;=T$23,$C118&lt;=T$23+ANALYSIS!$G$6),1,0)</f>
        <v>0</v>
      </c>
      <c r="AK118">
        <f>IF(AND(BA118=0,$B118&gt;=U$22,$B118&lt;=U$22+ANALYSIS!$G$5,$C118&gt;=U$23,$C118&lt;=U$23+ANALYSIS!$G$6),1,0)</f>
        <v>0</v>
      </c>
      <c r="AL118">
        <f>IF(AND(BB118=0,$B118&gt;=V$22,$B118&lt;=V$22+ANALYSIS!$G$5,$C118&gt;=V$23,$C118&lt;=V$23+ANALYSIS!$G$6),1,0)</f>
        <v>0</v>
      </c>
      <c r="AM118">
        <f>IF(AND(BC118=0,$B118&gt;=W$22,$B118&lt;=W$22+ANALYSIS!$G$5,$C118&gt;=W$23,$C118&lt;=W$23+ANALYSIS!$G$6),1,0)</f>
        <v>0</v>
      </c>
      <c r="AN118">
        <f>IF(AND(BD118=0,$B118&gt;=X$22,$B118&lt;=X$22+ANALYSIS!$G$5,$C118&gt;=X$23,$C118&lt;=X$23+ANALYSIS!$G$6),1,0)</f>
        <v>0</v>
      </c>
      <c r="AO118">
        <f>IF(AND(BE118=0,$B118&gt;=Y$22,$B118&lt;=Y$22+ANALYSIS!$G$5,$C118&gt;=Y$23,$C118&lt;=Y$23+ANALYSIS!$G$6),1,0)</f>
        <v>0</v>
      </c>
      <c r="AP118">
        <f>IF(AND(BF118=0,$B118&gt;=Z$22,$B118&lt;=Z$22+ANALYSIS!$G$5,$C118&gt;=Z$23,$C118&lt;=Z$23+ANALYSIS!$G$6),1,0)</f>
        <v>0</v>
      </c>
      <c r="AQ118">
        <f>IF(AND(BG118=0,$B118&gt;=AA$22,$B118&lt;=AA$22+ANALYSIS!$G$5,$C118&gt;=AA$23,$C118&lt;=AA$23+ANALYSIS!$G$6),1,0)</f>
        <v>0</v>
      </c>
      <c r="AR118">
        <f>IF(AND(BH118=0,$B118&gt;=AB$22,$B118&lt;=AB$22+ANALYSIS!$G$5,$C118&gt;=AB$23,$C118&lt;=AB$23+ANALYSIS!$G$6),1,0)</f>
        <v>0</v>
      </c>
      <c r="AS118">
        <f>IF(AND(BI118=0,$B118&gt;=AC$22,$B118&lt;=AC$22+ANALYSIS!$G$5,$C118&gt;=AC$23,$C118&lt;=AC$23+ANALYSIS!$G$6),1,0)</f>
        <v>0</v>
      </c>
      <c r="AT118">
        <f>IF(AND(BJ118=0,$B118&gt;=AD$22,$B118&lt;=AD$22+ANALYSIS!$G$5,$C118&gt;=AD$23,$C118&lt;=AD$23+ANALYSIS!$G$6),1,0)</f>
        <v>0</v>
      </c>
      <c r="AU118">
        <f>IF(AND(BK118=0,$B118&gt;=AE$22,$B118&lt;=AE$22+ANALYSIS!$G$5,$C118&gt;=AE$23,$C118&lt;=AE$23+ANALYSIS!$G$6),1,0)</f>
        <v>0</v>
      </c>
      <c r="AV118">
        <f>IF(AND(BL118=0,$B118&gt;=AF$22,$B118&lt;=AF$22+ANALYSIS!$G$5,$C118&gt;=AF$23,$C118&lt;=AF$23+ANALYSIS!$G$6),1,0)</f>
        <v>0</v>
      </c>
      <c r="AX118">
        <v>0</v>
      </c>
      <c r="AY118">
        <f t="shared" si="29"/>
        <v>1</v>
      </c>
      <c r="AZ118">
        <f t="shared" si="30"/>
        <v>1</v>
      </c>
      <c r="BA118">
        <f t="shared" si="31"/>
        <v>1</v>
      </c>
      <c r="BB118">
        <f t="shared" si="32"/>
        <v>1</v>
      </c>
      <c r="BC118">
        <f t="shared" si="33"/>
        <v>1</v>
      </c>
      <c r="BD118">
        <f t="shared" si="34"/>
        <v>1</v>
      </c>
      <c r="BE118">
        <f t="shared" si="35"/>
        <v>1</v>
      </c>
      <c r="BF118">
        <f t="shared" si="36"/>
        <v>1</v>
      </c>
      <c r="BG118">
        <f t="shared" si="37"/>
        <v>1</v>
      </c>
      <c r="BH118">
        <f t="shared" si="38"/>
        <v>1</v>
      </c>
      <c r="BI118">
        <f t="shared" si="39"/>
        <v>1</v>
      </c>
      <c r="BJ118">
        <f t="shared" si="40"/>
        <v>1</v>
      </c>
      <c r="BK118">
        <f t="shared" si="41"/>
        <v>1</v>
      </c>
      <c r="BL118">
        <f t="shared" si="42"/>
        <v>1</v>
      </c>
      <c r="BM118">
        <f t="shared" si="43"/>
        <v>1</v>
      </c>
    </row>
    <row r="119" spans="1:65" x14ac:dyDescent="0.25">
      <c r="A119" s="41" t="str">
        <f>ANALYSIS!B125</f>
        <v>20-45</v>
      </c>
      <c r="B119" s="41">
        <f>ANALYSIS!E125</f>
        <v>55.5</v>
      </c>
      <c r="C119" s="41">
        <f>ANALYSIS!G125</f>
        <v>23.94</v>
      </c>
      <c r="D119" s="41">
        <f t="shared" si="28"/>
        <v>1</v>
      </c>
      <c r="R119" cm="1">
        <f t="array" ref="R119">IF(AX119&gt;0,0,SUMPRODUCT((AX$25:AX$124=0)*($B$25:$B$124&gt;=$B119)*($B$25:$B$124&lt;=$B119+ANALYSIS!$G$5)*($C$25:$C$124&gt;=$C119)*($C$25:$C$124&lt;=$C119+ANALYSIS!$G$6)))</f>
        <v>7</v>
      </c>
      <c r="S119" cm="1">
        <f t="array" ref="S119">IF(AY119&gt;0,0,SUMPRODUCT((AY$25:AY$124=0)*($B$25:$B$124&gt;=$B119)*($B$25:$B$124&lt;=$B119+ANALYSIS!$G$5)*($C$25:$C$124&gt;=$C119)*($C$25:$C$124&lt;=$C119+ANALYSIS!$G$6)))</f>
        <v>0</v>
      </c>
      <c r="T119" cm="1">
        <f t="array" ref="T119">IF(AZ119&gt;0,0,SUMPRODUCT((AZ$25:AZ$124=0)*($B$25:$B$124&gt;=$B119)*($B$25:$B$124&lt;=$B119+ANALYSIS!$G$5)*($C$25:$C$124&gt;=$C119)*($C$25:$C$124&lt;=$C119+ANALYSIS!$G$6)))</f>
        <v>0</v>
      </c>
      <c r="U119" cm="1">
        <f t="array" ref="U119">IF(BA119&gt;0,0,SUMPRODUCT((BA$25:BA$124=0)*($B$25:$B$124&gt;=$B119)*($B$25:$B$124&lt;=$B119+ANALYSIS!$G$5)*($C$25:$C$124&gt;=$C119)*($C$25:$C$124&lt;=$C119+ANALYSIS!$G$6)))</f>
        <v>0</v>
      </c>
      <c r="V119" cm="1">
        <f t="array" ref="V119">IF(BB119&gt;0,0,SUMPRODUCT((BB$25:BB$124=0)*($B$25:$B$124&gt;=$B119)*($B$25:$B$124&lt;=$B119+ANALYSIS!$G$5)*($C$25:$C$124&gt;=$C119)*($C$25:$C$124&lt;=$C119+ANALYSIS!$G$6)))</f>
        <v>0</v>
      </c>
      <c r="W119" cm="1">
        <f t="array" ref="W119">IF(BC119&gt;0,0,SUMPRODUCT((BC$25:BC$124=0)*($B$25:$B$124&gt;=$B119)*($B$25:$B$124&lt;=$B119+ANALYSIS!$G$5)*($C$25:$C$124&gt;=$C119)*($C$25:$C$124&lt;=$C119+ANALYSIS!$G$6)))</f>
        <v>0</v>
      </c>
      <c r="X119" cm="1">
        <f t="array" ref="X119">IF(BD119&gt;0,0,SUMPRODUCT((BD$25:BD$124=0)*($B$25:$B$124&gt;=$B119)*($B$25:$B$124&lt;=$B119+ANALYSIS!$G$5)*($C$25:$C$124&gt;=$C119)*($C$25:$C$124&lt;=$C119+ANALYSIS!$G$6)))</f>
        <v>0</v>
      </c>
      <c r="Y119" cm="1">
        <f t="array" ref="Y119">IF(BE119&gt;0,0,SUMPRODUCT((BE$25:BE$124=0)*($B$25:$B$124&gt;=$B119)*($B$25:$B$124&lt;=$B119+ANALYSIS!$G$5)*($C$25:$C$124&gt;=$C119)*($C$25:$C$124&lt;=$C119+ANALYSIS!$G$6)))</f>
        <v>0</v>
      </c>
      <c r="Z119" cm="1">
        <f t="array" ref="Z119">IF(BF119&gt;0,0,SUMPRODUCT((BF$25:BF$124=0)*($B$25:$B$124&gt;=$B119)*($B$25:$B$124&lt;=$B119+ANALYSIS!$G$5)*($C$25:$C$124&gt;=$C119)*($C$25:$C$124&lt;=$C119+ANALYSIS!$G$6)))</f>
        <v>0</v>
      </c>
      <c r="AA119" cm="1">
        <f t="array" ref="AA119">IF(BG119&gt;0,0,SUMPRODUCT((BG$25:BG$124=0)*($B$25:$B$124&gt;=$B119)*($B$25:$B$124&lt;=$B119+ANALYSIS!$G$5)*($C$25:$C$124&gt;=$C119)*($C$25:$C$124&lt;=$C119+ANALYSIS!$G$6)))</f>
        <v>0</v>
      </c>
      <c r="AB119" cm="1">
        <f t="array" ref="AB119">IF(BH119&gt;0,0,SUMPRODUCT((BH$25:BH$124=0)*($B$25:$B$124&gt;=$B119)*($B$25:$B$124&lt;=$B119+ANALYSIS!$G$5)*($C$25:$C$124&gt;=$C119)*($C$25:$C$124&lt;=$C119+ANALYSIS!$G$6)))</f>
        <v>0</v>
      </c>
      <c r="AC119" cm="1">
        <f t="array" ref="AC119">IF(BI119&gt;0,0,SUMPRODUCT((BI$25:BI$124=0)*($B$25:$B$124&gt;=$B119)*($B$25:$B$124&lt;=$B119+ANALYSIS!$G$5)*($C$25:$C$124&gt;=$C119)*($C$25:$C$124&lt;=$C119+ANALYSIS!$G$6)))</f>
        <v>0</v>
      </c>
      <c r="AD119" cm="1">
        <f t="array" ref="AD119">IF(BJ119&gt;0,0,SUMPRODUCT((BJ$25:BJ$124=0)*($B$25:$B$124&gt;=$B119)*($B$25:$B$124&lt;=$B119+ANALYSIS!$G$5)*($C$25:$C$124&gt;=$C119)*($C$25:$C$124&lt;=$C119+ANALYSIS!$G$6)))</f>
        <v>0</v>
      </c>
      <c r="AE119" cm="1">
        <f t="array" ref="AE119">IF(BK119&gt;0,0,SUMPRODUCT((BK$25:BK$124=0)*($B$25:$B$124&gt;=$B119)*($B$25:$B$124&lt;=$B119+ANALYSIS!$G$5)*($C$25:$C$124&gt;=$C119)*($C$25:$C$124&lt;=$C119+ANALYSIS!$G$6)))</f>
        <v>0</v>
      </c>
      <c r="AF119" cm="1">
        <f t="array" ref="AF119">IF(BL119&gt;0,0,SUMPRODUCT((BL$25:BL$124=0)*($B$25:$B$124&gt;=$B119)*($B$25:$B$124&lt;=$B119+ANALYSIS!$G$5)*($C$25:$C$124&gt;=$C119)*($C$25:$C$124&lt;=$C119+ANALYSIS!$G$6)))</f>
        <v>0</v>
      </c>
      <c r="AH119">
        <f>IF(AND(AX119=0,$B119&gt;=R$22,$B119&lt;=R$22+ANALYSIS!$G$5,$C119&gt;=R$23,$C119&lt;=R$23+ANALYSIS!$G$6),1,0)</f>
        <v>1</v>
      </c>
      <c r="AI119">
        <f>IF(AND(AY119=0,$B119&gt;=S$22,$B119&lt;=S$22+ANALYSIS!$G$5,$C119&gt;=S$23,$C119&lt;=S$23+ANALYSIS!$G$6),1,0)</f>
        <v>0</v>
      </c>
      <c r="AJ119">
        <f>IF(AND(AZ119=0,$B119&gt;=T$22,$B119&lt;=T$22+ANALYSIS!$G$5,$C119&gt;=T$23,$C119&lt;=T$23+ANALYSIS!$G$6),1,0)</f>
        <v>0</v>
      </c>
      <c r="AK119">
        <f>IF(AND(BA119=0,$B119&gt;=U$22,$B119&lt;=U$22+ANALYSIS!$G$5,$C119&gt;=U$23,$C119&lt;=U$23+ANALYSIS!$G$6),1,0)</f>
        <v>0</v>
      </c>
      <c r="AL119">
        <f>IF(AND(BB119=0,$B119&gt;=V$22,$B119&lt;=V$22+ANALYSIS!$G$5,$C119&gt;=V$23,$C119&lt;=V$23+ANALYSIS!$G$6),1,0)</f>
        <v>0</v>
      </c>
      <c r="AM119">
        <f>IF(AND(BC119=0,$B119&gt;=W$22,$B119&lt;=W$22+ANALYSIS!$G$5,$C119&gt;=W$23,$C119&lt;=W$23+ANALYSIS!$G$6),1,0)</f>
        <v>0</v>
      </c>
      <c r="AN119">
        <f>IF(AND(BD119=0,$B119&gt;=X$22,$B119&lt;=X$22+ANALYSIS!$G$5,$C119&gt;=X$23,$C119&lt;=X$23+ANALYSIS!$G$6),1,0)</f>
        <v>0</v>
      </c>
      <c r="AO119">
        <f>IF(AND(BE119=0,$B119&gt;=Y$22,$B119&lt;=Y$22+ANALYSIS!$G$5,$C119&gt;=Y$23,$C119&lt;=Y$23+ANALYSIS!$G$6),1,0)</f>
        <v>0</v>
      </c>
      <c r="AP119">
        <f>IF(AND(BF119=0,$B119&gt;=Z$22,$B119&lt;=Z$22+ANALYSIS!$G$5,$C119&gt;=Z$23,$C119&lt;=Z$23+ANALYSIS!$G$6),1,0)</f>
        <v>0</v>
      </c>
      <c r="AQ119">
        <f>IF(AND(BG119=0,$B119&gt;=AA$22,$B119&lt;=AA$22+ANALYSIS!$G$5,$C119&gt;=AA$23,$C119&lt;=AA$23+ANALYSIS!$G$6),1,0)</f>
        <v>0</v>
      </c>
      <c r="AR119">
        <f>IF(AND(BH119=0,$B119&gt;=AB$22,$B119&lt;=AB$22+ANALYSIS!$G$5,$C119&gt;=AB$23,$C119&lt;=AB$23+ANALYSIS!$G$6),1,0)</f>
        <v>0</v>
      </c>
      <c r="AS119">
        <f>IF(AND(BI119=0,$B119&gt;=AC$22,$B119&lt;=AC$22+ANALYSIS!$G$5,$C119&gt;=AC$23,$C119&lt;=AC$23+ANALYSIS!$G$6),1,0)</f>
        <v>0</v>
      </c>
      <c r="AT119">
        <f>IF(AND(BJ119=0,$B119&gt;=AD$22,$B119&lt;=AD$22+ANALYSIS!$G$5,$C119&gt;=AD$23,$C119&lt;=AD$23+ANALYSIS!$G$6),1,0)</f>
        <v>0</v>
      </c>
      <c r="AU119">
        <f>IF(AND(BK119=0,$B119&gt;=AE$22,$B119&lt;=AE$22+ANALYSIS!$G$5,$C119&gt;=AE$23,$C119&lt;=AE$23+ANALYSIS!$G$6),1,0)</f>
        <v>0</v>
      </c>
      <c r="AV119">
        <f>IF(AND(BL119=0,$B119&gt;=AF$22,$B119&lt;=AF$22+ANALYSIS!$G$5,$C119&gt;=AF$23,$C119&lt;=AF$23+ANALYSIS!$G$6),1,0)</f>
        <v>0</v>
      </c>
      <c r="AX119">
        <v>0</v>
      </c>
      <c r="AY119">
        <f t="shared" si="29"/>
        <v>1</v>
      </c>
      <c r="AZ119">
        <f t="shared" si="30"/>
        <v>1</v>
      </c>
      <c r="BA119">
        <f t="shared" si="31"/>
        <v>1</v>
      </c>
      <c r="BB119">
        <f t="shared" si="32"/>
        <v>1</v>
      </c>
      <c r="BC119">
        <f t="shared" si="33"/>
        <v>1</v>
      </c>
      <c r="BD119">
        <f t="shared" si="34"/>
        <v>1</v>
      </c>
      <c r="BE119">
        <f t="shared" si="35"/>
        <v>1</v>
      </c>
      <c r="BF119">
        <f t="shared" si="36"/>
        <v>1</v>
      </c>
      <c r="BG119">
        <f t="shared" si="37"/>
        <v>1</v>
      </c>
      <c r="BH119">
        <f t="shared" si="38"/>
        <v>1</v>
      </c>
      <c r="BI119">
        <f t="shared" si="39"/>
        <v>1</v>
      </c>
      <c r="BJ119">
        <f t="shared" si="40"/>
        <v>1</v>
      </c>
      <c r="BK119">
        <f t="shared" si="41"/>
        <v>1</v>
      </c>
      <c r="BL119">
        <f t="shared" si="42"/>
        <v>1</v>
      </c>
      <c r="BM119">
        <f t="shared" si="43"/>
        <v>1</v>
      </c>
    </row>
    <row r="120" spans="1:65" x14ac:dyDescent="0.25">
      <c r="A120" s="41" t="str">
        <f>ANALYSIS!B126</f>
        <v>20-46</v>
      </c>
      <c r="B120" s="41">
        <f>ANALYSIS!E126</f>
        <v>58</v>
      </c>
      <c r="C120" s="41">
        <f>ANALYSIS!G126</f>
        <v>24.46</v>
      </c>
      <c r="D120" s="41">
        <f t="shared" si="28"/>
        <v>12</v>
      </c>
      <c r="R120" cm="1">
        <f t="array" ref="R120">IF(AX120&gt;0,0,SUMPRODUCT((AX$25:AX$124=0)*($B$25:$B$124&gt;=$B120)*($B$25:$B$124&lt;=$B120+ANALYSIS!$G$5)*($C$25:$C$124&gt;=$C120)*($C$25:$C$124&lt;=$C120+ANALYSIS!$G$6)))</f>
        <v>4</v>
      </c>
      <c r="S120" cm="1">
        <f t="array" ref="S120">IF(AY120&gt;0,0,SUMPRODUCT((AY$25:AY$124=0)*($B$25:$B$124&gt;=$B120)*($B$25:$B$124&lt;=$B120+ANALYSIS!$G$5)*($C$25:$C$124&gt;=$C120)*($C$25:$C$124&lt;=$C120+ANALYSIS!$G$6)))</f>
        <v>4</v>
      </c>
      <c r="T120" cm="1">
        <f t="array" ref="T120">IF(AZ120&gt;0,0,SUMPRODUCT((AZ$25:AZ$124=0)*($B$25:$B$124&gt;=$B120)*($B$25:$B$124&lt;=$B120+ANALYSIS!$G$5)*($C$25:$C$124&gt;=$C120)*($C$25:$C$124&lt;=$C120+ANALYSIS!$G$6)))</f>
        <v>4</v>
      </c>
      <c r="U120" cm="1">
        <f t="array" ref="U120">IF(BA120&gt;0,0,SUMPRODUCT((BA$25:BA$124=0)*($B$25:$B$124&gt;=$B120)*($B$25:$B$124&lt;=$B120+ANALYSIS!$G$5)*($C$25:$C$124&gt;=$C120)*($C$25:$C$124&lt;=$C120+ANALYSIS!$G$6)))</f>
        <v>4</v>
      </c>
      <c r="V120" cm="1">
        <f t="array" ref="V120">IF(BB120&gt;0,0,SUMPRODUCT((BB$25:BB$124=0)*($B$25:$B$124&gt;=$B120)*($B$25:$B$124&lt;=$B120+ANALYSIS!$G$5)*($C$25:$C$124&gt;=$C120)*($C$25:$C$124&lt;=$C120+ANALYSIS!$G$6)))</f>
        <v>4</v>
      </c>
      <c r="W120" cm="1">
        <f t="array" ref="W120">IF(BC120&gt;0,0,SUMPRODUCT((BC$25:BC$124=0)*($B$25:$B$124&gt;=$B120)*($B$25:$B$124&lt;=$B120+ANALYSIS!$G$5)*($C$25:$C$124&gt;=$C120)*($C$25:$C$124&lt;=$C120+ANALYSIS!$G$6)))</f>
        <v>4</v>
      </c>
      <c r="X120" cm="1">
        <f t="array" ref="X120">IF(BD120&gt;0,0,SUMPRODUCT((BD$25:BD$124=0)*($B$25:$B$124&gt;=$B120)*($B$25:$B$124&lt;=$B120+ANALYSIS!$G$5)*($C$25:$C$124&gt;=$C120)*($C$25:$C$124&lt;=$C120+ANALYSIS!$G$6)))</f>
        <v>4</v>
      </c>
      <c r="Y120" cm="1">
        <f t="array" ref="Y120">IF(BE120&gt;0,0,SUMPRODUCT((BE$25:BE$124=0)*($B$25:$B$124&gt;=$B120)*($B$25:$B$124&lt;=$B120+ANALYSIS!$G$5)*($C$25:$C$124&gt;=$C120)*($C$25:$C$124&lt;=$C120+ANALYSIS!$G$6)))</f>
        <v>4</v>
      </c>
      <c r="Z120" cm="1">
        <f t="array" ref="Z120">IF(BF120&gt;0,0,SUMPRODUCT((BF$25:BF$124=0)*($B$25:$B$124&gt;=$B120)*($B$25:$B$124&lt;=$B120+ANALYSIS!$G$5)*($C$25:$C$124&gt;=$C120)*($C$25:$C$124&lt;=$C120+ANALYSIS!$G$6)))</f>
        <v>4</v>
      </c>
      <c r="AA120" cm="1">
        <f t="array" ref="AA120">IF(BG120&gt;0,0,SUMPRODUCT((BG$25:BG$124=0)*($B$25:$B$124&gt;=$B120)*($B$25:$B$124&lt;=$B120+ANALYSIS!$G$5)*($C$25:$C$124&gt;=$C120)*($C$25:$C$124&lt;=$C120+ANALYSIS!$G$6)))</f>
        <v>4</v>
      </c>
      <c r="AB120" cm="1">
        <f t="array" ref="AB120">IF(BH120&gt;0,0,SUMPRODUCT((BH$25:BH$124=0)*($B$25:$B$124&gt;=$B120)*($B$25:$B$124&lt;=$B120+ANALYSIS!$G$5)*($C$25:$C$124&gt;=$C120)*($C$25:$C$124&lt;=$C120+ANALYSIS!$G$6)))</f>
        <v>2</v>
      </c>
      <c r="AC120" cm="1">
        <f t="array" ref="AC120">IF(BI120&gt;0,0,SUMPRODUCT((BI$25:BI$124=0)*($B$25:$B$124&gt;=$B120)*($B$25:$B$124&lt;=$B120+ANALYSIS!$G$5)*($C$25:$C$124&gt;=$C120)*($C$25:$C$124&lt;=$C120+ANALYSIS!$G$6)))</f>
        <v>2</v>
      </c>
      <c r="AD120" cm="1">
        <f t="array" ref="AD120">IF(BJ120&gt;0,0,SUMPRODUCT((BJ$25:BJ$124=0)*($B$25:$B$124&gt;=$B120)*($B$25:$B$124&lt;=$B120+ANALYSIS!$G$5)*($C$25:$C$124&gt;=$C120)*($C$25:$C$124&lt;=$C120+ANALYSIS!$G$6)))</f>
        <v>0</v>
      </c>
      <c r="AE120" cm="1">
        <f t="array" ref="AE120">IF(BK120&gt;0,0,SUMPRODUCT((BK$25:BK$124=0)*($B$25:$B$124&gt;=$B120)*($B$25:$B$124&lt;=$B120+ANALYSIS!$G$5)*($C$25:$C$124&gt;=$C120)*($C$25:$C$124&lt;=$C120+ANALYSIS!$G$6)))</f>
        <v>0</v>
      </c>
      <c r="AF120" cm="1">
        <f t="array" ref="AF120">IF(BL120&gt;0,0,SUMPRODUCT((BL$25:BL$124=0)*($B$25:$B$124&gt;=$B120)*($B$25:$B$124&lt;=$B120+ANALYSIS!$G$5)*($C$25:$C$124&gt;=$C120)*($C$25:$C$124&lt;=$C120+ANALYSIS!$G$6)))</f>
        <v>0</v>
      </c>
      <c r="AH120">
        <f>IF(AND(AX120=0,$B120&gt;=R$22,$B120&lt;=R$22+ANALYSIS!$G$5,$C120&gt;=R$23,$C120&lt;=R$23+ANALYSIS!$G$6),1,0)</f>
        <v>0</v>
      </c>
      <c r="AI120">
        <f>IF(AND(AY120=0,$B120&gt;=S$22,$B120&lt;=S$22+ANALYSIS!$G$5,$C120&gt;=S$23,$C120&lt;=S$23+ANALYSIS!$G$6),1,0)</f>
        <v>0</v>
      </c>
      <c r="AJ120">
        <f>IF(AND(AZ120=0,$B120&gt;=T$22,$B120&lt;=T$22+ANALYSIS!$G$5,$C120&gt;=T$23,$C120&lt;=T$23+ANALYSIS!$G$6),1,0)</f>
        <v>0</v>
      </c>
      <c r="AK120">
        <f>IF(AND(BA120=0,$B120&gt;=U$22,$B120&lt;=U$22+ANALYSIS!$G$5,$C120&gt;=U$23,$C120&lt;=U$23+ANALYSIS!$G$6),1,0)</f>
        <v>0</v>
      </c>
      <c r="AL120">
        <f>IF(AND(BB120=0,$B120&gt;=V$22,$B120&lt;=V$22+ANALYSIS!$G$5,$C120&gt;=V$23,$C120&lt;=V$23+ANALYSIS!$G$6),1,0)</f>
        <v>0</v>
      </c>
      <c r="AM120">
        <f>IF(AND(BC120=0,$B120&gt;=W$22,$B120&lt;=W$22+ANALYSIS!$G$5,$C120&gt;=W$23,$C120&lt;=W$23+ANALYSIS!$G$6),1,0)</f>
        <v>0</v>
      </c>
      <c r="AN120">
        <f>IF(AND(BD120=0,$B120&gt;=X$22,$B120&lt;=X$22+ANALYSIS!$G$5,$C120&gt;=X$23,$C120&lt;=X$23+ANALYSIS!$G$6),1,0)</f>
        <v>0</v>
      </c>
      <c r="AO120">
        <f>IF(AND(BE120=0,$B120&gt;=Y$22,$B120&lt;=Y$22+ANALYSIS!$G$5,$C120&gt;=Y$23,$C120&lt;=Y$23+ANALYSIS!$G$6),1,0)</f>
        <v>0</v>
      </c>
      <c r="AP120">
        <f>IF(AND(BF120=0,$B120&gt;=Z$22,$B120&lt;=Z$22+ANALYSIS!$G$5,$C120&gt;=Z$23,$C120&lt;=Z$23+ANALYSIS!$G$6),1,0)</f>
        <v>0</v>
      </c>
      <c r="AQ120">
        <f>IF(AND(BG120=0,$B120&gt;=AA$22,$B120&lt;=AA$22+ANALYSIS!$G$5,$C120&gt;=AA$23,$C120&lt;=AA$23+ANALYSIS!$G$6),1,0)</f>
        <v>0</v>
      </c>
      <c r="AR120">
        <f>IF(AND(BH120=0,$B120&gt;=AB$22,$B120&lt;=AB$22+ANALYSIS!$G$5,$C120&gt;=AB$23,$C120&lt;=AB$23+ANALYSIS!$G$6),1,0)</f>
        <v>0</v>
      </c>
      <c r="AS120">
        <f>IF(AND(BI120=0,$B120&gt;=AC$22,$B120&lt;=AC$22+ANALYSIS!$G$5,$C120&gt;=AC$23,$C120&lt;=AC$23+ANALYSIS!$G$6),1,0)</f>
        <v>1</v>
      </c>
      <c r="AT120">
        <f>IF(AND(BJ120=0,$B120&gt;=AD$22,$B120&lt;=AD$22+ANALYSIS!$G$5,$C120&gt;=AD$23,$C120&lt;=AD$23+ANALYSIS!$G$6),1,0)</f>
        <v>0</v>
      </c>
      <c r="AU120">
        <f>IF(AND(BK120=0,$B120&gt;=AE$22,$B120&lt;=AE$22+ANALYSIS!$G$5,$C120&gt;=AE$23,$C120&lt;=AE$23+ANALYSIS!$G$6),1,0)</f>
        <v>0</v>
      </c>
      <c r="AV120">
        <f>IF(AND(BL120=0,$B120&gt;=AF$22,$B120&lt;=AF$22+ANALYSIS!$G$5,$C120&gt;=AF$23,$C120&lt;=AF$23+ANALYSIS!$G$6),1,0)</f>
        <v>0</v>
      </c>
      <c r="AX120">
        <v>0</v>
      </c>
      <c r="AY120">
        <f t="shared" si="29"/>
        <v>0</v>
      </c>
      <c r="AZ120">
        <f t="shared" si="30"/>
        <v>0</v>
      </c>
      <c r="BA120">
        <f t="shared" si="31"/>
        <v>0</v>
      </c>
      <c r="BB120">
        <f t="shared" si="32"/>
        <v>0</v>
      </c>
      <c r="BC120">
        <f t="shared" si="33"/>
        <v>0</v>
      </c>
      <c r="BD120">
        <f t="shared" si="34"/>
        <v>0</v>
      </c>
      <c r="BE120">
        <f t="shared" si="35"/>
        <v>0</v>
      </c>
      <c r="BF120">
        <f t="shared" si="36"/>
        <v>0</v>
      </c>
      <c r="BG120">
        <f t="shared" si="37"/>
        <v>0</v>
      </c>
      <c r="BH120">
        <f t="shared" si="38"/>
        <v>0</v>
      </c>
      <c r="BI120">
        <f t="shared" si="39"/>
        <v>0</v>
      </c>
      <c r="BJ120">
        <f t="shared" si="40"/>
        <v>1</v>
      </c>
      <c r="BK120">
        <f t="shared" si="41"/>
        <v>1</v>
      </c>
      <c r="BL120">
        <f t="shared" si="42"/>
        <v>1</v>
      </c>
      <c r="BM120">
        <f t="shared" si="43"/>
        <v>1</v>
      </c>
    </row>
    <row r="121" spans="1:65" x14ac:dyDescent="0.25">
      <c r="A121" s="41" t="str">
        <f>ANALYSIS!B127</f>
        <v>20-47</v>
      </c>
      <c r="B121" s="41">
        <f>ANALYSIS!E127</f>
        <v>53.5</v>
      </c>
      <c r="C121" s="41">
        <f>ANALYSIS!G127</f>
        <v>21.7</v>
      </c>
      <c r="D121" s="41">
        <f t="shared" si="28"/>
        <v>4</v>
      </c>
      <c r="R121" cm="1">
        <f t="array" ref="R121">IF(AX121&gt;0,0,SUMPRODUCT((AX$25:AX$124=0)*($B$25:$B$124&gt;=$B121)*($B$25:$B$124&lt;=$B121+ANALYSIS!$G$5)*($C$25:$C$124&gt;=$C121)*($C$25:$C$124&lt;=$C121+ANALYSIS!$G$6)))</f>
        <v>4</v>
      </c>
      <c r="S121" cm="1">
        <f t="array" ref="S121">IF(AY121&gt;0,0,SUMPRODUCT((AY$25:AY$124=0)*($B$25:$B$124&gt;=$B121)*($B$25:$B$124&lt;=$B121+ANALYSIS!$G$5)*($C$25:$C$124&gt;=$C121)*($C$25:$C$124&lt;=$C121+ANALYSIS!$G$6)))</f>
        <v>4</v>
      </c>
      <c r="T121" cm="1">
        <f t="array" ref="T121">IF(AZ121&gt;0,0,SUMPRODUCT((AZ$25:AZ$124=0)*($B$25:$B$124&gt;=$B121)*($B$25:$B$124&lt;=$B121+ANALYSIS!$G$5)*($C$25:$C$124&gt;=$C121)*($C$25:$C$124&lt;=$C121+ANALYSIS!$G$6)))</f>
        <v>4</v>
      </c>
      <c r="U121" cm="1">
        <f t="array" ref="U121">IF(BA121&gt;0,0,SUMPRODUCT((BA$25:BA$124=0)*($B$25:$B$124&gt;=$B121)*($B$25:$B$124&lt;=$B121+ANALYSIS!$G$5)*($C$25:$C$124&gt;=$C121)*($C$25:$C$124&lt;=$C121+ANALYSIS!$G$6)))</f>
        <v>4</v>
      </c>
      <c r="V121" cm="1">
        <f t="array" ref="V121">IF(BB121&gt;0,0,SUMPRODUCT((BB$25:BB$124=0)*($B$25:$B$124&gt;=$B121)*($B$25:$B$124&lt;=$B121+ANALYSIS!$G$5)*($C$25:$C$124&gt;=$C121)*($C$25:$C$124&lt;=$C121+ANALYSIS!$G$6)))</f>
        <v>0</v>
      </c>
      <c r="W121" cm="1">
        <f t="array" ref="W121">IF(BC121&gt;0,0,SUMPRODUCT((BC$25:BC$124=0)*($B$25:$B$124&gt;=$B121)*($B$25:$B$124&lt;=$B121+ANALYSIS!$G$5)*($C$25:$C$124&gt;=$C121)*($C$25:$C$124&lt;=$C121+ANALYSIS!$G$6)))</f>
        <v>0</v>
      </c>
      <c r="X121" cm="1">
        <f t="array" ref="X121">IF(BD121&gt;0,0,SUMPRODUCT((BD$25:BD$124=0)*($B$25:$B$124&gt;=$B121)*($B$25:$B$124&lt;=$B121+ANALYSIS!$G$5)*($C$25:$C$124&gt;=$C121)*($C$25:$C$124&lt;=$C121+ANALYSIS!$G$6)))</f>
        <v>0</v>
      </c>
      <c r="Y121" cm="1">
        <f t="array" ref="Y121">IF(BE121&gt;0,0,SUMPRODUCT((BE$25:BE$124=0)*($B$25:$B$124&gt;=$B121)*($B$25:$B$124&lt;=$B121+ANALYSIS!$G$5)*($C$25:$C$124&gt;=$C121)*($C$25:$C$124&lt;=$C121+ANALYSIS!$G$6)))</f>
        <v>0</v>
      </c>
      <c r="Z121" cm="1">
        <f t="array" ref="Z121">IF(BF121&gt;0,0,SUMPRODUCT((BF$25:BF$124=0)*($B$25:$B$124&gt;=$B121)*($B$25:$B$124&lt;=$B121+ANALYSIS!$G$5)*($C$25:$C$124&gt;=$C121)*($C$25:$C$124&lt;=$C121+ANALYSIS!$G$6)))</f>
        <v>0</v>
      </c>
      <c r="AA121" cm="1">
        <f t="array" ref="AA121">IF(BG121&gt;0,0,SUMPRODUCT((BG$25:BG$124=0)*($B$25:$B$124&gt;=$B121)*($B$25:$B$124&lt;=$B121+ANALYSIS!$G$5)*($C$25:$C$124&gt;=$C121)*($C$25:$C$124&lt;=$C121+ANALYSIS!$G$6)))</f>
        <v>0</v>
      </c>
      <c r="AB121" cm="1">
        <f t="array" ref="AB121">IF(BH121&gt;0,0,SUMPRODUCT((BH$25:BH$124=0)*($B$25:$B$124&gt;=$B121)*($B$25:$B$124&lt;=$B121+ANALYSIS!$G$5)*($C$25:$C$124&gt;=$C121)*($C$25:$C$124&lt;=$C121+ANALYSIS!$G$6)))</f>
        <v>0</v>
      </c>
      <c r="AC121" cm="1">
        <f t="array" ref="AC121">IF(BI121&gt;0,0,SUMPRODUCT((BI$25:BI$124=0)*($B$25:$B$124&gt;=$B121)*($B$25:$B$124&lt;=$B121+ANALYSIS!$G$5)*($C$25:$C$124&gt;=$C121)*($C$25:$C$124&lt;=$C121+ANALYSIS!$G$6)))</f>
        <v>0</v>
      </c>
      <c r="AD121" cm="1">
        <f t="array" ref="AD121">IF(BJ121&gt;0,0,SUMPRODUCT((BJ$25:BJ$124=0)*($B$25:$B$124&gt;=$B121)*($B$25:$B$124&lt;=$B121+ANALYSIS!$G$5)*($C$25:$C$124&gt;=$C121)*($C$25:$C$124&lt;=$C121+ANALYSIS!$G$6)))</f>
        <v>0</v>
      </c>
      <c r="AE121" cm="1">
        <f t="array" ref="AE121">IF(BK121&gt;0,0,SUMPRODUCT((BK$25:BK$124=0)*($B$25:$B$124&gt;=$B121)*($B$25:$B$124&lt;=$B121+ANALYSIS!$G$5)*($C$25:$C$124&gt;=$C121)*($C$25:$C$124&lt;=$C121+ANALYSIS!$G$6)))</f>
        <v>0</v>
      </c>
      <c r="AF121" cm="1">
        <f t="array" ref="AF121">IF(BL121&gt;0,0,SUMPRODUCT((BL$25:BL$124=0)*($B$25:$B$124&gt;=$B121)*($B$25:$B$124&lt;=$B121+ANALYSIS!$G$5)*($C$25:$C$124&gt;=$C121)*($C$25:$C$124&lt;=$C121+ANALYSIS!$G$6)))</f>
        <v>0</v>
      </c>
      <c r="AH121">
        <f>IF(AND(AX121=0,$B121&gt;=R$22,$B121&lt;=R$22+ANALYSIS!$G$5,$C121&gt;=R$23,$C121&lt;=R$23+ANALYSIS!$G$6),1,0)</f>
        <v>0</v>
      </c>
      <c r="AI121">
        <f>IF(AND(AY121=0,$B121&gt;=S$22,$B121&lt;=S$22+ANALYSIS!$G$5,$C121&gt;=S$23,$C121&lt;=S$23+ANALYSIS!$G$6),1,0)</f>
        <v>0</v>
      </c>
      <c r="AJ121">
        <f>IF(AND(AZ121=0,$B121&gt;=T$22,$B121&lt;=T$22+ANALYSIS!$G$5,$C121&gt;=T$23,$C121&lt;=T$23+ANALYSIS!$G$6),1,0)</f>
        <v>0</v>
      </c>
      <c r="AK121">
        <f>IF(AND(BA121=0,$B121&gt;=U$22,$B121&lt;=U$22+ANALYSIS!$G$5,$C121&gt;=U$23,$C121&lt;=U$23+ANALYSIS!$G$6),1,0)</f>
        <v>1</v>
      </c>
      <c r="AL121">
        <f>IF(AND(BB121=0,$B121&gt;=V$22,$B121&lt;=V$22+ANALYSIS!$G$5,$C121&gt;=V$23,$C121&lt;=V$23+ANALYSIS!$G$6),1,0)</f>
        <v>0</v>
      </c>
      <c r="AM121">
        <f>IF(AND(BC121=0,$B121&gt;=W$22,$B121&lt;=W$22+ANALYSIS!$G$5,$C121&gt;=W$23,$C121&lt;=W$23+ANALYSIS!$G$6),1,0)</f>
        <v>0</v>
      </c>
      <c r="AN121">
        <f>IF(AND(BD121=0,$B121&gt;=X$22,$B121&lt;=X$22+ANALYSIS!$G$5,$C121&gt;=X$23,$C121&lt;=X$23+ANALYSIS!$G$6),1,0)</f>
        <v>0</v>
      </c>
      <c r="AO121">
        <f>IF(AND(BE121=0,$B121&gt;=Y$22,$B121&lt;=Y$22+ANALYSIS!$G$5,$C121&gt;=Y$23,$C121&lt;=Y$23+ANALYSIS!$G$6),1,0)</f>
        <v>0</v>
      </c>
      <c r="AP121">
        <f>IF(AND(BF121=0,$B121&gt;=Z$22,$B121&lt;=Z$22+ANALYSIS!$G$5,$C121&gt;=Z$23,$C121&lt;=Z$23+ANALYSIS!$G$6),1,0)</f>
        <v>0</v>
      </c>
      <c r="AQ121">
        <f>IF(AND(BG121=0,$B121&gt;=AA$22,$B121&lt;=AA$22+ANALYSIS!$G$5,$C121&gt;=AA$23,$C121&lt;=AA$23+ANALYSIS!$G$6),1,0)</f>
        <v>0</v>
      </c>
      <c r="AR121">
        <f>IF(AND(BH121=0,$B121&gt;=AB$22,$B121&lt;=AB$22+ANALYSIS!$G$5,$C121&gt;=AB$23,$C121&lt;=AB$23+ANALYSIS!$G$6),1,0)</f>
        <v>0</v>
      </c>
      <c r="AS121">
        <f>IF(AND(BI121=0,$B121&gt;=AC$22,$B121&lt;=AC$22+ANALYSIS!$G$5,$C121&gt;=AC$23,$C121&lt;=AC$23+ANALYSIS!$G$6),1,0)</f>
        <v>0</v>
      </c>
      <c r="AT121">
        <f>IF(AND(BJ121=0,$B121&gt;=AD$22,$B121&lt;=AD$22+ANALYSIS!$G$5,$C121&gt;=AD$23,$C121&lt;=AD$23+ANALYSIS!$G$6),1,0)</f>
        <v>0</v>
      </c>
      <c r="AU121">
        <f>IF(AND(BK121=0,$B121&gt;=AE$22,$B121&lt;=AE$22+ANALYSIS!$G$5,$C121&gt;=AE$23,$C121&lt;=AE$23+ANALYSIS!$G$6),1,0)</f>
        <v>0</v>
      </c>
      <c r="AV121">
        <f>IF(AND(BL121=0,$B121&gt;=AF$22,$B121&lt;=AF$22+ANALYSIS!$G$5,$C121&gt;=AF$23,$C121&lt;=AF$23+ANALYSIS!$G$6),1,0)</f>
        <v>0</v>
      </c>
      <c r="AX121">
        <v>0</v>
      </c>
      <c r="AY121">
        <f t="shared" si="29"/>
        <v>0</v>
      </c>
      <c r="AZ121">
        <f t="shared" si="30"/>
        <v>0</v>
      </c>
      <c r="BA121">
        <f t="shared" si="31"/>
        <v>0</v>
      </c>
      <c r="BB121">
        <f t="shared" si="32"/>
        <v>1</v>
      </c>
      <c r="BC121">
        <f t="shared" si="33"/>
        <v>1</v>
      </c>
      <c r="BD121">
        <f t="shared" si="34"/>
        <v>1</v>
      </c>
      <c r="BE121">
        <f t="shared" si="35"/>
        <v>1</v>
      </c>
      <c r="BF121">
        <f t="shared" si="36"/>
        <v>1</v>
      </c>
      <c r="BG121">
        <f t="shared" si="37"/>
        <v>1</v>
      </c>
      <c r="BH121">
        <f t="shared" si="38"/>
        <v>1</v>
      </c>
      <c r="BI121">
        <f t="shared" si="39"/>
        <v>1</v>
      </c>
      <c r="BJ121">
        <f t="shared" si="40"/>
        <v>1</v>
      </c>
      <c r="BK121">
        <f t="shared" si="41"/>
        <v>1</v>
      </c>
      <c r="BL121">
        <f t="shared" si="42"/>
        <v>1</v>
      </c>
      <c r="BM121">
        <f t="shared" si="43"/>
        <v>1</v>
      </c>
    </row>
    <row r="122" spans="1:65" x14ac:dyDescent="0.25">
      <c r="A122" s="41" t="str">
        <f>ANALYSIS!B128</f>
        <v>20-48</v>
      </c>
      <c r="B122" s="41">
        <f>ANALYSIS!E128</f>
        <v>57.5</v>
      </c>
      <c r="C122" s="41">
        <f>ANALYSIS!G128</f>
        <v>25.26</v>
      </c>
      <c r="D122" s="41">
        <f t="shared" si="28"/>
        <v>3</v>
      </c>
      <c r="R122" cm="1">
        <f t="array" ref="R122">IF(AX122&gt;0,0,SUMPRODUCT((AX$25:AX$124=0)*($B$25:$B$124&gt;=$B122)*($B$25:$B$124&lt;=$B122+ANALYSIS!$G$5)*($C$25:$C$124&gt;=$C122)*($C$25:$C$124&lt;=$C122+ANALYSIS!$G$6)))</f>
        <v>2</v>
      </c>
      <c r="S122" cm="1">
        <f t="array" ref="S122">IF(AY122&gt;0,0,SUMPRODUCT((AY$25:AY$124=0)*($B$25:$B$124&gt;=$B122)*($B$25:$B$124&lt;=$B122+ANALYSIS!$G$5)*($C$25:$C$124&gt;=$C122)*($C$25:$C$124&lt;=$C122+ANALYSIS!$G$6)))</f>
        <v>2</v>
      </c>
      <c r="T122" cm="1">
        <f t="array" ref="T122">IF(AZ122&gt;0,0,SUMPRODUCT((AZ$25:AZ$124=0)*($B$25:$B$124&gt;=$B122)*($B$25:$B$124&lt;=$B122+ANALYSIS!$G$5)*($C$25:$C$124&gt;=$C122)*($C$25:$C$124&lt;=$C122+ANALYSIS!$G$6)))</f>
        <v>2</v>
      </c>
      <c r="U122" cm="1">
        <f t="array" ref="U122">IF(BA122&gt;0,0,SUMPRODUCT((BA$25:BA$124=0)*($B$25:$B$124&gt;=$B122)*($B$25:$B$124&lt;=$B122+ANALYSIS!$G$5)*($C$25:$C$124&gt;=$C122)*($C$25:$C$124&lt;=$C122+ANALYSIS!$G$6)))</f>
        <v>0</v>
      </c>
      <c r="V122" cm="1">
        <f t="array" ref="V122">IF(BB122&gt;0,0,SUMPRODUCT((BB$25:BB$124=0)*($B$25:$B$124&gt;=$B122)*($B$25:$B$124&lt;=$B122+ANALYSIS!$G$5)*($C$25:$C$124&gt;=$C122)*($C$25:$C$124&lt;=$C122+ANALYSIS!$G$6)))</f>
        <v>0</v>
      </c>
      <c r="W122" cm="1">
        <f t="array" ref="W122">IF(BC122&gt;0,0,SUMPRODUCT((BC$25:BC$124=0)*($B$25:$B$124&gt;=$B122)*($B$25:$B$124&lt;=$B122+ANALYSIS!$G$5)*($C$25:$C$124&gt;=$C122)*($C$25:$C$124&lt;=$C122+ANALYSIS!$G$6)))</f>
        <v>0</v>
      </c>
      <c r="X122" cm="1">
        <f t="array" ref="X122">IF(BD122&gt;0,0,SUMPRODUCT((BD$25:BD$124=0)*($B$25:$B$124&gt;=$B122)*($B$25:$B$124&lt;=$B122+ANALYSIS!$G$5)*($C$25:$C$124&gt;=$C122)*($C$25:$C$124&lt;=$C122+ANALYSIS!$G$6)))</f>
        <v>0</v>
      </c>
      <c r="Y122" cm="1">
        <f t="array" ref="Y122">IF(BE122&gt;0,0,SUMPRODUCT((BE$25:BE$124=0)*($B$25:$B$124&gt;=$B122)*($B$25:$B$124&lt;=$B122+ANALYSIS!$G$5)*($C$25:$C$124&gt;=$C122)*($C$25:$C$124&lt;=$C122+ANALYSIS!$G$6)))</f>
        <v>0</v>
      </c>
      <c r="Z122" cm="1">
        <f t="array" ref="Z122">IF(BF122&gt;0,0,SUMPRODUCT((BF$25:BF$124=0)*($B$25:$B$124&gt;=$B122)*($B$25:$B$124&lt;=$B122+ANALYSIS!$G$5)*($C$25:$C$124&gt;=$C122)*($C$25:$C$124&lt;=$C122+ANALYSIS!$G$6)))</f>
        <v>0</v>
      </c>
      <c r="AA122" cm="1">
        <f t="array" ref="AA122">IF(BG122&gt;0,0,SUMPRODUCT((BG$25:BG$124=0)*($B$25:$B$124&gt;=$B122)*($B$25:$B$124&lt;=$B122+ANALYSIS!$G$5)*($C$25:$C$124&gt;=$C122)*($C$25:$C$124&lt;=$C122+ANALYSIS!$G$6)))</f>
        <v>0</v>
      </c>
      <c r="AB122" cm="1">
        <f t="array" ref="AB122">IF(BH122&gt;0,0,SUMPRODUCT((BH$25:BH$124=0)*($B$25:$B$124&gt;=$B122)*($B$25:$B$124&lt;=$B122+ANALYSIS!$G$5)*($C$25:$C$124&gt;=$C122)*($C$25:$C$124&lt;=$C122+ANALYSIS!$G$6)))</f>
        <v>0</v>
      </c>
      <c r="AC122" cm="1">
        <f t="array" ref="AC122">IF(BI122&gt;0,0,SUMPRODUCT((BI$25:BI$124=0)*($B$25:$B$124&gt;=$B122)*($B$25:$B$124&lt;=$B122+ANALYSIS!$G$5)*($C$25:$C$124&gt;=$C122)*($C$25:$C$124&lt;=$C122+ANALYSIS!$G$6)))</f>
        <v>0</v>
      </c>
      <c r="AD122" cm="1">
        <f t="array" ref="AD122">IF(BJ122&gt;0,0,SUMPRODUCT((BJ$25:BJ$124=0)*($B$25:$B$124&gt;=$B122)*($B$25:$B$124&lt;=$B122+ANALYSIS!$G$5)*($C$25:$C$124&gt;=$C122)*($C$25:$C$124&lt;=$C122+ANALYSIS!$G$6)))</f>
        <v>0</v>
      </c>
      <c r="AE122" cm="1">
        <f t="array" ref="AE122">IF(BK122&gt;0,0,SUMPRODUCT((BK$25:BK$124=0)*($B$25:$B$124&gt;=$B122)*($B$25:$B$124&lt;=$B122+ANALYSIS!$G$5)*($C$25:$C$124&gt;=$C122)*($C$25:$C$124&lt;=$C122+ANALYSIS!$G$6)))</f>
        <v>0</v>
      </c>
      <c r="AF122" cm="1">
        <f t="array" ref="AF122">IF(BL122&gt;0,0,SUMPRODUCT((BL$25:BL$124=0)*($B$25:$B$124&gt;=$B122)*($B$25:$B$124&lt;=$B122+ANALYSIS!$G$5)*($C$25:$C$124&gt;=$C122)*($C$25:$C$124&lt;=$C122+ANALYSIS!$G$6)))</f>
        <v>0</v>
      </c>
      <c r="AH122">
        <f>IF(AND(AX122=0,$B122&gt;=R$22,$B122&lt;=R$22+ANALYSIS!$G$5,$C122&gt;=R$23,$C122&lt;=R$23+ANALYSIS!$G$6),1,0)</f>
        <v>0</v>
      </c>
      <c r="AI122">
        <f>IF(AND(AY122=0,$B122&gt;=S$22,$B122&lt;=S$22+ANALYSIS!$G$5,$C122&gt;=S$23,$C122&lt;=S$23+ANALYSIS!$G$6),1,0)</f>
        <v>0</v>
      </c>
      <c r="AJ122">
        <f>IF(AND(AZ122=0,$B122&gt;=T$22,$B122&lt;=T$22+ANALYSIS!$G$5,$C122&gt;=T$23,$C122&lt;=T$23+ANALYSIS!$G$6),1,0)</f>
        <v>1</v>
      </c>
      <c r="AK122">
        <f>IF(AND(BA122=0,$B122&gt;=U$22,$B122&lt;=U$22+ANALYSIS!$G$5,$C122&gt;=U$23,$C122&lt;=U$23+ANALYSIS!$G$6),1,0)</f>
        <v>0</v>
      </c>
      <c r="AL122">
        <f>IF(AND(BB122=0,$B122&gt;=V$22,$B122&lt;=V$22+ANALYSIS!$G$5,$C122&gt;=V$23,$C122&lt;=V$23+ANALYSIS!$G$6),1,0)</f>
        <v>0</v>
      </c>
      <c r="AM122">
        <f>IF(AND(BC122=0,$B122&gt;=W$22,$B122&lt;=W$22+ANALYSIS!$G$5,$C122&gt;=W$23,$C122&lt;=W$23+ANALYSIS!$G$6),1,0)</f>
        <v>0</v>
      </c>
      <c r="AN122">
        <f>IF(AND(BD122=0,$B122&gt;=X$22,$B122&lt;=X$22+ANALYSIS!$G$5,$C122&gt;=X$23,$C122&lt;=X$23+ANALYSIS!$G$6),1,0)</f>
        <v>0</v>
      </c>
      <c r="AO122">
        <f>IF(AND(BE122=0,$B122&gt;=Y$22,$B122&lt;=Y$22+ANALYSIS!$G$5,$C122&gt;=Y$23,$C122&lt;=Y$23+ANALYSIS!$G$6),1,0)</f>
        <v>0</v>
      </c>
      <c r="AP122">
        <f>IF(AND(BF122=0,$B122&gt;=Z$22,$B122&lt;=Z$22+ANALYSIS!$G$5,$C122&gt;=Z$23,$C122&lt;=Z$23+ANALYSIS!$G$6),1,0)</f>
        <v>0</v>
      </c>
      <c r="AQ122">
        <f>IF(AND(BG122=0,$B122&gt;=AA$22,$B122&lt;=AA$22+ANALYSIS!$G$5,$C122&gt;=AA$23,$C122&lt;=AA$23+ANALYSIS!$G$6),1,0)</f>
        <v>0</v>
      </c>
      <c r="AR122">
        <f>IF(AND(BH122=0,$B122&gt;=AB$22,$B122&lt;=AB$22+ANALYSIS!$G$5,$C122&gt;=AB$23,$C122&lt;=AB$23+ANALYSIS!$G$6),1,0)</f>
        <v>0</v>
      </c>
      <c r="AS122">
        <f>IF(AND(BI122=0,$B122&gt;=AC$22,$B122&lt;=AC$22+ANALYSIS!$G$5,$C122&gt;=AC$23,$C122&lt;=AC$23+ANALYSIS!$G$6),1,0)</f>
        <v>0</v>
      </c>
      <c r="AT122">
        <f>IF(AND(BJ122=0,$B122&gt;=AD$22,$B122&lt;=AD$22+ANALYSIS!$G$5,$C122&gt;=AD$23,$C122&lt;=AD$23+ANALYSIS!$G$6),1,0)</f>
        <v>0</v>
      </c>
      <c r="AU122">
        <f>IF(AND(BK122=0,$B122&gt;=AE$22,$B122&lt;=AE$22+ANALYSIS!$G$5,$C122&gt;=AE$23,$C122&lt;=AE$23+ANALYSIS!$G$6),1,0)</f>
        <v>0</v>
      </c>
      <c r="AV122">
        <f>IF(AND(BL122=0,$B122&gt;=AF$22,$B122&lt;=AF$22+ANALYSIS!$G$5,$C122&gt;=AF$23,$C122&lt;=AF$23+ANALYSIS!$G$6),1,0)</f>
        <v>0</v>
      </c>
      <c r="AX122">
        <v>0</v>
      </c>
      <c r="AY122">
        <f t="shared" si="29"/>
        <v>0</v>
      </c>
      <c r="AZ122">
        <f t="shared" si="30"/>
        <v>0</v>
      </c>
      <c r="BA122">
        <f t="shared" si="31"/>
        <v>1</v>
      </c>
      <c r="BB122">
        <f t="shared" si="32"/>
        <v>1</v>
      </c>
      <c r="BC122">
        <f t="shared" si="33"/>
        <v>1</v>
      </c>
      <c r="BD122">
        <f t="shared" si="34"/>
        <v>1</v>
      </c>
      <c r="BE122">
        <f t="shared" si="35"/>
        <v>1</v>
      </c>
      <c r="BF122">
        <f t="shared" si="36"/>
        <v>1</v>
      </c>
      <c r="BG122">
        <f t="shared" si="37"/>
        <v>1</v>
      </c>
      <c r="BH122">
        <f t="shared" si="38"/>
        <v>1</v>
      </c>
      <c r="BI122">
        <f t="shared" si="39"/>
        <v>1</v>
      </c>
      <c r="BJ122">
        <f t="shared" si="40"/>
        <v>1</v>
      </c>
      <c r="BK122">
        <f t="shared" si="41"/>
        <v>1</v>
      </c>
      <c r="BL122">
        <f t="shared" si="42"/>
        <v>1</v>
      </c>
      <c r="BM122">
        <f t="shared" si="43"/>
        <v>1</v>
      </c>
    </row>
    <row r="123" spans="1:65" x14ac:dyDescent="0.25">
      <c r="A123" s="41" t="str">
        <f>ANALYSIS!B129</f>
        <v>20-49</v>
      </c>
      <c r="B123" s="41">
        <f>ANALYSIS!E129</f>
        <v>53.5</v>
      </c>
      <c r="C123" s="41">
        <f>ANALYSIS!G129</f>
        <v>24</v>
      </c>
      <c r="D123" s="41" t="str">
        <f t="shared" si="28"/>
        <v/>
      </c>
      <c r="R123" cm="1">
        <f t="array" ref="R123">IF(AX123&gt;0,0,SUMPRODUCT((AX$25:AX$124=0)*($B$25:$B$124&gt;=$B123)*($B$25:$B$124&lt;=$B123+ANALYSIS!$G$5)*($C$25:$C$124&gt;=$C123)*($C$25:$C$124&lt;=$C123+ANALYSIS!$G$6)))</f>
        <v>6</v>
      </c>
      <c r="S123" cm="1">
        <f t="array" ref="S123">IF(AY123&gt;0,0,SUMPRODUCT((AY$25:AY$124=0)*($B$25:$B$124&gt;=$B123)*($B$25:$B$124&lt;=$B123+ANALYSIS!$G$5)*($C$25:$C$124&gt;=$C123)*($C$25:$C$124&lt;=$C123+ANALYSIS!$G$6)))</f>
        <v>1</v>
      </c>
      <c r="T123" cm="1">
        <f t="array" ref="T123">IF(AZ123&gt;0,0,SUMPRODUCT((AZ$25:AZ$124=0)*($B$25:$B$124&gt;=$B123)*($B$25:$B$124&lt;=$B123+ANALYSIS!$G$5)*($C$25:$C$124&gt;=$C123)*($C$25:$C$124&lt;=$C123+ANALYSIS!$G$6)))</f>
        <v>1</v>
      </c>
      <c r="U123" cm="1">
        <f t="array" ref="U123">IF(BA123&gt;0,0,SUMPRODUCT((BA$25:BA$124=0)*($B$25:$B$124&gt;=$B123)*($B$25:$B$124&lt;=$B123+ANALYSIS!$G$5)*($C$25:$C$124&gt;=$C123)*($C$25:$C$124&lt;=$C123+ANALYSIS!$G$6)))</f>
        <v>1</v>
      </c>
      <c r="V123" cm="1">
        <f t="array" ref="V123">IF(BB123&gt;0,0,SUMPRODUCT((BB$25:BB$124=0)*($B$25:$B$124&gt;=$B123)*($B$25:$B$124&lt;=$B123+ANALYSIS!$G$5)*($C$25:$C$124&gt;=$C123)*($C$25:$C$124&lt;=$C123+ANALYSIS!$G$6)))</f>
        <v>1</v>
      </c>
      <c r="W123" cm="1">
        <f t="array" ref="W123">IF(BC123&gt;0,0,SUMPRODUCT((BC$25:BC$124=0)*($B$25:$B$124&gt;=$B123)*($B$25:$B$124&lt;=$B123+ANALYSIS!$G$5)*($C$25:$C$124&gt;=$C123)*($C$25:$C$124&lt;=$C123+ANALYSIS!$G$6)))</f>
        <v>1</v>
      </c>
      <c r="X123" cm="1">
        <f t="array" ref="X123">IF(BD123&gt;0,0,SUMPRODUCT((BD$25:BD$124=0)*($B$25:$B$124&gt;=$B123)*($B$25:$B$124&lt;=$B123+ANALYSIS!$G$5)*($C$25:$C$124&gt;=$C123)*($C$25:$C$124&lt;=$C123+ANALYSIS!$G$6)))</f>
        <v>1</v>
      </c>
      <c r="Y123" cm="1">
        <f t="array" ref="Y123">IF(BE123&gt;0,0,SUMPRODUCT((BE$25:BE$124=0)*($B$25:$B$124&gt;=$B123)*($B$25:$B$124&lt;=$B123+ANALYSIS!$G$5)*($C$25:$C$124&gt;=$C123)*($C$25:$C$124&lt;=$C123+ANALYSIS!$G$6)))</f>
        <v>1</v>
      </c>
      <c r="Z123" cm="1">
        <f t="array" ref="Z123">IF(BF123&gt;0,0,SUMPRODUCT((BF$25:BF$124=0)*($B$25:$B$124&gt;=$B123)*($B$25:$B$124&lt;=$B123+ANALYSIS!$G$5)*($C$25:$C$124&gt;=$C123)*($C$25:$C$124&lt;=$C123+ANALYSIS!$G$6)))</f>
        <v>1</v>
      </c>
      <c r="AA123" cm="1">
        <f t="array" ref="AA123">IF(BG123&gt;0,0,SUMPRODUCT((BG$25:BG$124=0)*($B$25:$B$124&gt;=$B123)*($B$25:$B$124&lt;=$B123+ANALYSIS!$G$5)*($C$25:$C$124&gt;=$C123)*($C$25:$C$124&lt;=$C123+ANALYSIS!$G$6)))</f>
        <v>1</v>
      </c>
      <c r="AB123" cm="1">
        <f t="array" ref="AB123">IF(BH123&gt;0,0,SUMPRODUCT((BH$25:BH$124=0)*($B$25:$B$124&gt;=$B123)*($B$25:$B$124&lt;=$B123+ANALYSIS!$G$5)*($C$25:$C$124&gt;=$C123)*($C$25:$C$124&lt;=$C123+ANALYSIS!$G$6)))</f>
        <v>1</v>
      </c>
      <c r="AC123" cm="1">
        <f t="array" ref="AC123">IF(BI123&gt;0,0,SUMPRODUCT((BI$25:BI$124=0)*($B$25:$B$124&gt;=$B123)*($B$25:$B$124&lt;=$B123+ANALYSIS!$G$5)*($C$25:$C$124&gt;=$C123)*($C$25:$C$124&lt;=$C123+ANALYSIS!$G$6)))</f>
        <v>1</v>
      </c>
      <c r="AD123" cm="1">
        <f t="array" ref="AD123">IF(BJ123&gt;0,0,SUMPRODUCT((BJ$25:BJ$124=0)*($B$25:$B$124&gt;=$B123)*($B$25:$B$124&lt;=$B123+ANALYSIS!$G$5)*($C$25:$C$124&gt;=$C123)*($C$25:$C$124&lt;=$C123+ANALYSIS!$G$6)))</f>
        <v>1</v>
      </c>
      <c r="AE123" cm="1">
        <f t="array" ref="AE123">IF(BK123&gt;0,0,SUMPRODUCT((BK$25:BK$124=0)*($B$25:$B$124&gt;=$B123)*($B$25:$B$124&lt;=$B123+ANALYSIS!$G$5)*($C$25:$C$124&gt;=$C123)*($C$25:$C$124&lt;=$C123+ANALYSIS!$G$6)))</f>
        <v>1</v>
      </c>
      <c r="AF123" cm="1">
        <f t="array" ref="AF123">IF(BL123&gt;0,0,SUMPRODUCT((BL$25:BL$124=0)*($B$25:$B$124&gt;=$B123)*($B$25:$B$124&lt;=$B123+ANALYSIS!$G$5)*($C$25:$C$124&gt;=$C123)*($C$25:$C$124&lt;=$C123+ANALYSIS!$G$6)))</f>
        <v>1</v>
      </c>
      <c r="AH123">
        <f>IF(AND(AX123=0,$B123&gt;=R$22,$B123&lt;=R$22+ANALYSIS!$G$5,$C123&gt;=R$23,$C123&lt;=R$23+ANALYSIS!$G$6),1,0)</f>
        <v>0</v>
      </c>
      <c r="AI123">
        <f>IF(AND(AY123=0,$B123&gt;=S$22,$B123&lt;=S$22+ANALYSIS!$G$5,$C123&gt;=S$23,$C123&lt;=S$23+ANALYSIS!$G$6),1,0)</f>
        <v>0</v>
      </c>
      <c r="AJ123">
        <f>IF(AND(AZ123=0,$B123&gt;=T$22,$B123&lt;=T$22+ANALYSIS!$G$5,$C123&gt;=T$23,$C123&lt;=T$23+ANALYSIS!$G$6),1,0)</f>
        <v>0</v>
      </c>
      <c r="AK123">
        <f>IF(AND(BA123=0,$B123&gt;=U$22,$B123&lt;=U$22+ANALYSIS!$G$5,$C123&gt;=U$23,$C123&lt;=U$23+ANALYSIS!$G$6),1,0)</f>
        <v>0</v>
      </c>
      <c r="AL123">
        <f>IF(AND(BB123=0,$B123&gt;=V$22,$B123&lt;=V$22+ANALYSIS!$G$5,$C123&gt;=V$23,$C123&lt;=V$23+ANALYSIS!$G$6),1,0)</f>
        <v>0</v>
      </c>
      <c r="AM123">
        <f>IF(AND(BC123=0,$B123&gt;=W$22,$B123&lt;=W$22+ANALYSIS!$G$5,$C123&gt;=W$23,$C123&lt;=W$23+ANALYSIS!$G$6),1,0)</f>
        <v>0</v>
      </c>
      <c r="AN123">
        <f>IF(AND(BD123=0,$B123&gt;=X$22,$B123&lt;=X$22+ANALYSIS!$G$5,$C123&gt;=X$23,$C123&lt;=X$23+ANALYSIS!$G$6),1,0)</f>
        <v>0</v>
      </c>
      <c r="AO123">
        <f>IF(AND(BE123=0,$B123&gt;=Y$22,$B123&lt;=Y$22+ANALYSIS!$G$5,$C123&gt;=Y$23,$C123&lt;=Y$23+ANALYSIS!$G$6),1,0)</f>
        <v>0</v>
      </c>
      <c r="AP123">
        <f>IF(AND(BF123=0,$B123&gt;=Z$22,$B123&lt;=Z$22+ANALYSIS!$G$5,$C123&gt;=Z$23,$C123&lt;=Z$23+ANALYSIS!$G$6),1,0)</f>
        <v>0</v>
      </c>
      <c r="AQ123">
        <f>IF(AND(BG123=0,$B123&gt;=AA$22,$B123&lt;=AA$22+ANALYSIS!$G$5,$C123&gt;=AA$23,$C123&lt;=AA$23+ANALYSIS!$G$6),1,0)</f>
        <v>0</v>
      </c>
      <c r="AR123">
        <f>IF(AND(BH123=0,$B123&gt;=AB$22,$B123&lt;=AB$22+ANALYSIS!$G$5,$C123&gt;=AB$23,$C123&lt;=AB$23+ANALYSIS!$G$6),1,0)</f>
        <v>0</v>
      </c>
      <c r="AS123">
        <f>IF(AND(BI123=0,$B123&gt;=AC$22,$B123&lt;=AC$22+ANALYSIS!$G$5,$C123&gt;=AC$23,$C123&lt;=AC$23+ANALYSIS!$G$6),1,0)</f>
        <v>0</v>
      </c>
      <c r="AT123">
        <f>IF(AND(BJ123=0,$B123&gt;=AD$22,$B123&lt;=AD$22+ANALYSIS!$G$5,$C123&gt;=AD$23,$C123&lt;=AD$23+ANALYSIS!$G$6),1,0)</f>
        <v>0</v>
      </c>
      <c r="AU123">
        <f>IF(AND(BK123=0,$B123&gt;=AE$22,$B123&lt;=AE$22+ANALYSIS!$G$5,$C123&gt;=AE$23,$C123&lt;=AE$23+ANALYSIS!$G$6),1,0)</f>
        <v>0</v>
      </c>
      <c r="AV123">
        <f>IF(AND(BL123=0,$B123&gt;=AF$22,$B123&lt;=AF$22+ANALYSIS!$G$5,$C123&gt;=AF$23,$C123&lt;=AF$23+ANALYSIS!$G$6),1,0)</f>
        <v>0</v>
      </c>
      <c r="AX123">
        <v>0</v>
      </c>
      <c r="AY123">
        <f t="shared" si="29"/>
        <v>0</v>
      </c>
      <c r="AZ123">
        <f t="shared" si="30"/>
        <v>0</v>
      </c>
      <c r="BA123">
        <f t="shared" si="31"/>
        <v>0</v>
      </c>
      <c r="BB123">
        <f t="shared" si="32"/>
        <v>0</v>
      </c>
      <c r="BC123">
        <f t="shared" si="33"/>
        <v>0</v>
      </c>
      <c r="BD123">
        <f t="shared" si="34"/>
        <v>0</v>
      </c>
      <c r="BE123">
        <f t="shared" si="35"/>
        <v>0</v>
      </c>
      <c r="BF123">
        <f t="shared" si="36"/>
        <v>0</v>
      </c>
      <c r="BG123">
        <f t="shared" si="37"/>
        <v>0</v>
      </c>
      <c r="BH123">
        <f t="shared" si="38"/>
        <v>0</v>
      </c>
      <c r="BI123">
        <f t="shared" si="39"/>
        <v>0</v>
      </c>
      <c r="BJ123">
        <f t="shared" si="40"/>
        <v>0</v>
      </c>
      <c r="BK123">
        <f t="shared" si="41"/>
        <v>0</v>
      </c>
      <c r="BL123">
        <f t="shared" si="42"/>
        <v>0</v>
      </c>
      <c r="BM123">
        <f t="shared" si="43"/>
        <v>0</v>
      </c>
    </row>
    <row r="124" spans="1:65" x14ac:dyDescent="0.25">
      <c r="A124" s="42" t="str">
        <f>ANALYSIS!B130</f>
        <v>20-50</v>
      </c>
      <c r="B124" s="42">
        <f>ANALYSIS!E130</f>
        <v>57</v>
      </c>
      <c r="C124" s="42">
        <f>ANALYSIS!G130</f>
        <v>24.41</v>
      </c>
      <c r="D124" s="42">
        <f t="shared" si="28"/>
        <v>12</v>
      </c>
      <c r="R124" cm="1">
        <f t="array" ref="R124">IF(AX124&gt;0,0,SUMPRODUCT((AX$25:AX$124=0)*($B$25:$B$124&gt;=$B124)*($B$25:$B$124&lt;=$B124+ANALYSIS!$G$5)*($C$25:$C$124&gt;=$C124)*($C$25:$C$124&lt;=$C124+ANALYSIS!$G$6)))</f>
        <v>4</v>
      </c>
      <c r="S124" cm="1">
        <f t="array" ref="S124">IF(AY124&gt;0,0,SUMPRODUCT((AY$25:AY$124=0)*($B$25:$B$124&gt;=$B124)*($B$25:$B$124&lt;=$B124+ANALYSIS!$G$5)*($C$25:$C$124&gt;=$C124)*($C$25:$C$124&lt;=$C124+ANALYSIS!$G$6)))</f>
        <v>4</v>
      </c>
      <c r="T124" cm="1">
        <f t="array" ref="T124">IF(AZ124&gt;0,0,SUMPRODUCT((AZ$25:AZ$124=0)*($B$25:$B$124&gt;=$B124)*($B$25:$B$124&lt;=$B124+ANALYSIS!$G$5)*($C$25:$C$124&gt;=$C124)*($C$25:$C$124&lt;=$C124+ANALYSIS!$G$6)))</f>
        <v>4</v>
      </c>
      <c r="U124" cm="1">
        <f t="array" ref="U124">IF(BA124&gt;0,0,SUMPRODUCT((BA$25:BA$124=0)*($B$25:$B$124&gt;=$B124)*($B$25:$B$124&lt;=$B124+ANALYSIS!$G$5)*($C$25:$C$124&gt;=$C124)*($C$25:$C$124&lt;=$C124+ANALYSIS!$G$6)))</f>
        <v>4</v>
      </c>
      <c r="V124" cm="1">
        <f t="array" ref="V124">IF(BB124&gt;0,0,SUMPRODUCT((BB$25:BB$124=0)*($B$25:$B$124&gt;=$B124)*($B$25:$B$124&lt;=$B124+ANALYSIS!$G$5)*($C$25:$C$124&gt;=$C124)*($C$25:$C$124&lt;=$C124+ANALYSIS!$G$6)))</f>
        <v>4</v>
      </c>
      <c r="W124" cm="1">
        <f t="array" ref="W124">IF(BC124&gt;0,0,SUMPRODUCT((BC$25:BC$124=0)*($B$25:$B$124&gt;=$B124)*($B$25:$B$124&lt;=$B124+ANALYSIS!$G$5)*($C$25:$C$124&gt;=$C124)*($C$25:$C$124&lt;=$C124+ANALYSIS!$G$6)))</f>
        <v>4</v>
      </c>
      <c r="X124" cm="1">
        <f t="array" ref="X124">IF(BD124&gt;0,0,SUMPRODUCT((BD$25:BD$124=0)*($B$25:$B$124&gt;=$B124)*($B$25:$B$124&lt;=$B124+ANALYSIS!$G$5)*($C$25:$C$124&gt;=$C124)*($C$25:$C$124&lt;=$C124+ANALYSIS!$G$6)))</f>
        <v>4</v>
      </c>
      <c r="Y124" cm="1">
        <f t="array" ref="Y124">IF(BE124&gt;0,0,SUMPRODUCT((BE$25:BE$124=0)*($B$25:$B$124&gt;=$B124)*($B$25:$B$124&lt;=$B124+ANALYSIS!$G$5)*($C$25:$C$124&gt;=$C124)*($C$25:$C$124&lt;=$C124+ANALYSIS!$G$6)))</f>
        <v>4</v>
      </c>
      <c r="Z124" cm="1">
        <f t="array" ref="Z124">IF(BF124&gt;0,0,SUMPRODUCT((BF$25:BF$124=0)*($B$25:$B$124&gt;=$B124)*($B$25:$B$124&lt;=$B124+ANALYSIS!$G$5)*($C$25:$C$124&gt;=$C124)*($C$25:$C$124&lt;=$C124+ANALYSIS!$G$6)))</f>
        <v>4</v>
      </c>
      <c r="AA124" cm="1">
        <f t="array" ref="AA124">IF(BG124&gt;0,0,SUMPRODUCT((BG$25:BG$124=0)*($B$25:$B$124&gt;=$B124)*($B$25:$B$124&lt;=$B124+ANALYSIS!$G$5)*($C$25:$C$124&gt;=$C124)*($C$25:$C$124&lt;=$C124+ANALYSIS!$G$6)))</f>
        <v>4</v>
      </c>
      <c r="AB124" cm="1">
        <f t="array" ref="AB124">IF(BH124&gt;0,0,SUMPRODUCT((BH$25:BH$124=0)*($B$25:$B$124&gt;=$B124)*($B$25:$B$124&lt;=$B124+ANALYSIS!$G$5)*($C$25:$C$124&gt;=$C124)*($C$25:$C$124&lt;=$C124+ANALYSIS!$G$6)))</f>
        <v>3</v>
      </c>
      <c r="AC124" cm="1">
        <f t="array" ref="AC124">IF(BI124&gt;0,0,SUMPRODUCT((BI$25:BI$124=0)*($B$25:$B$124&gt;=$B124)*($B$25:$B$124&lt;=$B124+ANALYSIS!$G$5)*($C$25:$C$124&gt;=$C124)*($C$25:$C$124&lt;=$C124+ANALYSIS!$G$6)))</f>
        <v>3</v>
      </c>
      <c r="AD124" cm="1">
        <f t="array" ref="AD124">IF(BJ124&gt;0,0,SUMPRODUCT((BJ$25:BJ$124=0)*($B$25:$B$124&gt;=$B124)*($B$25:$B$124&lt;=$B124+ANALYSIS!$G$5)*($C$25:$C$124&gt;=$C124)*($C$25:$C$124&lt;=$C124+ANALYSIS!$G$6)))</f>
        <v>0</v>
      </c>
      <c r="AE124" cm="1">
        <f t="array" ref="AE124">IF(BK124&gt;0,0,SUMPRODUCT((BK$25:BK$124=0)*($B$25:$B$124&gt;=$B124)*($B$25:$B$124&lt;=$B124+ANALYSIS!$G$5)*($C$25:$C$124&gt;=$C124)*($C$25:$C$124&lt;=$C124+ANALYSIS!$G$6)))</f>
        <v>0</v>
      </c>
      <c r="AF124" cm="1">
        <f t="array" ref="AF124">IF(BL124&gt;0,0,SUMPRODUCT((BL$25:BL$124=0)*($B$25:$B$124&gt;=$B124)*($B$25:$B$124&lt;=$B124+ANALYSIS!$G$5)*($C$25:$C$124&gt;=$C124)*($C$25:$C$124&lt;=$C124+ANALYSIS!$G$6)))</f>
        <v>0</v>
      </c>
      <c r="AH124">
        <f>IF(AND(AX124=0,$B124&gt;=R$22,$B124&lt;=R$22+ANALYSIS!$G$5,$C124&gt;=R$23,$C124&lt;=R$23+ANALYSIS!$G$6),1,0)</f>
        <v>0</v>
      </c>
      <c r="AI124">
        <f>IF(AND(AY124=0,$B124&gt;=S$22,$B124&lt;=S$22+ANALYSIS!$G$5,$C124&gt;=S$23,$C124&lt;=S$23+ANALYSIS!$G$6),1,0)</f>
        <v>0</v>
      </c>
      <c r="AJ124">
        <f>IF(AND(AZ124=0,$B124&gt;=T$22,$B124&lt;=T$22+ANALYSIS!$G$5,$C124&gt;=T$23,$C124&lt;=T$23+ANALYSIS!$G$6),1,0)</f>
        <v>0</v>
      </c>
      <c r="AK124">
        <f>IF(AND(BA124=0,$B124&gt;=U$22,$B124&lt;=U$22+ANALYSIS!$G$5,$C124&gt;=U$23,$C124&lt;=U$23+ANALYSIS!$G$6),1,0)</f>
        <v>0</v>
      </c>
      <c r="AL124">
        <f>IF(AND(BB124=0,$B124&gt;=V$22,$B124&lt;=V$22+ANALYSIS!$G$5,$C124&gt;=V$23,$C124&lt;=V$23+ANALYSIS!$G$6),1,0)</f>
        <v>0</v>
      </c>
      <c r="AM124">
        <f>IF(AND(BC124=0,$B124&gt;=W$22,$B124&lt;=W$22+ANALYSIS!$G$5,$C124&gt;=W$23,$C124&lt;=W$23+ANALYSIS!$G$6),1,0)</f>
        <v>0</v>
      </c>
      <c r="AN124">
        <f>IF(AND(BD124=0,$B124&gt;=X$22,$B124&lt;=X$22+ANALYSIS!$G$5,$C124&gt;=X$23,$C124&lt;=X$23+ANALYSIS!$G$6),1,0)</f>
        <v>0</v>
      </c>
      <c r="AO124">
        <f>IF(AND(BE124=0,$B124&gt;=Y$22,$B124&lt;=Y$22+ANALYSIS!$G$5,$C124&gt;=Y$23,$C124&lt;=Y$23+ANALYSIS!$G$6),1,0)</f>
        <v>0</v>
      </c>
      <c r="AP124">
        <f>IF(AND(BF124=0,$B124&gt;=Z$22,$B124&lt;=Z$22+ANALYSIS!$G$5,$C124&gt;=Z$23,$C124&lt;=Z$23+ANALYSIS!$G$6),1,0)</f>
        <v>0</v>
      </c>
      <c r="AQ124">
        <f>IF(AND(BG124=0,$B124&gt;=AA$22,$B124&lt;=AA$22+ANALYSIS!$G$5,$C124&gt;=AA$23,$C124&lt;=AA$23+ANALYSIS!$G$6),1,0)</f>
        <v>0</v>
      </c>
      <c r="AR124">
        <f>IF(AND(BH124=0,$B124&gt;=AB$22,$B124&lt;=AB$22+ANALYSIS!$G$5,$C124&gt;=AB$23,$C124&lt;=AB$23+ANALYSIS!$G$6),1,0)</f>
        <v>0</v>
      </c>
      <c r="AS124">
        <f>IF(AND(BI124=0,$B124&gt;=AC$22,$B124&lt;=AC$22+ANALYSIS!$G$5,$C124&gt;=AC$23,$C124&lt;=AC$23+ANALYSIS!$G$6),1,0)</f>
        <v>1</v>
      </c>
      <c r="AT124">
        <f>IF(AND(BJ124=0,$B124&gt;=AD$22,$B124&lt;=AD$22+ANALYSIS!$G$5,$C124&gt;=AD$23,$C124&lt;=AD$23+ANALYSIS!$G$6),1,0)</f>
        <v>0</v>
      </c>
      <c r="AU124">
        <f>IF(AND(BK124=0,$B124&gt;=AE$22,$B124&lt;=AE$22+ANALYSIS!$G$5,$C124&gt;=AE$23,$C124&lt;=AE$23+ANALYSIS!$G$6),1,0)</f>
        <v>0</v>
      </c>
      <c r="AV124">
        <f>IF(AND(BL124=0,$B124&gt;=AF$22,$B124&lt;=AF$22+ANALYSIS!$G$5,$C124&gt;=AF$23,$C124&lt;=AF$23+ANALYSIS!$G$6),1,0)</f>
        <v>0</v>
      </c>
      <c r="AX124">
        <v>0</v>
      </c>
      <c r="AY124">
        <f t="shared" si="29"/>
        <v>0</v>
      </c>
      <c r="AZ124">
        <f t="shared" si="30"/>
        <v>0</v>
      </c>
      <c r="BA124">
        <f t="shared" si="31"/>
        <v>0</v>
      </c>
      <c r="BB124">
        <f t="shared" si="32"/>
        <v>0</v>
      </c>
      <c r="BC124">
        <f t="shared" si="33"/>
        <v>0</v>
      </c>
      <c r="BD124">
        <f t="shared" si="34"/>
        <v>0</v>
      </c>
      <c r="BE124">
        <f t="shared" si="35"/>
        <v>0</v>
      </c>
      <c r="BF124">
        <f t="shared" si="36"/>
        <v>0</v>
      </c>
      <c r="BG124">
        <f t="shared" si="37"/>
        <v>0</v>
      </c>
      <c r="BH124">
        <f t="shared" si="38"/>
        <v>0</v>
      </c>
      <c r="BI124">
        <f t="shared" si="39"/>
        <v>0</v>
      </c>
      <c r="BJ124">
        <f t="shared" si="40"/>
        <v>1</v>
      </c>
      <c r="BK124">
        <f t="shared" si="41"/>
        <v>1</v>
      </c>
      <c r="BL124">
        <f t="shared" si="42"/>
        <v>1</v>
      </c>
      <c r="BM124">
        <f t="shared" si="43"/>
        <v>1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54850B66-13A5-4ACB-8A38-BED2ABCCCD5E}">
            <xm:f>AND($B8&gt;=ANALYSIS!$G$7,$I8="Yes")</xm:f>
            <x14:dxf>
              <fill>
                <patternFill patternType="solid">
                  <fgColor indexed="64"/>
                  <bgColor rgb="FFE2EFDA"/>
                </patternFill>
              </fill>
            </x14:dxf>
          </x14:cfRule>
          <xm:sqref>A8:J22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0EAD1-9768-43BE-AB8C-E6F04E3E72A2}">
  <dimension ref="A1:P93"/>
  <sheetViews>
    <sheetView workbookViewId="0">
      <selection activeCell="L10" sqref="L10"/>
    </sheetView>
  </sheetViews>
  <sheetFormatPr defaultRowHeight="15" x14ac:dyDescent="0.25"/>
  <cols>
    <col min="1" max="1" width="35.28515625" customWidth="1"/>
    <col min="2" max="7" width="8" customWidth="1"/>
    <col min="8" max="8" width="12.7109375" bestFit="1" customWidth="1"/>
    <col min="9" max="10" width="8" customWidth="1"/>
    <col min="11" max="11" width="13.140625" bestFit="1" customWidth="1"/>
    <col min="12" max="12" width="11.7109375" bestFit="1" customWidth="1"/>
    <col min="13" max="16" width="8" customWidth="1"/>
  </cols>
  <sheetData>
    <row r="1" spans="1:14" ht="18.75" x14ac:dyDescent="0.3">
      <c r="A1" s="1" t="str">
        <f>"Arrow Groups — within "&amp;$B$6&amp;" lb spine and "&amp;$B$7&amp;" g weight"</f>
        <v>Arrow Groups — within 3 lb spine and 0.5 g weight</v>
      </c>
    </row>
    <row r="2" spans="1:14" x14ac:dyDescent="0.25">
      <c r="A2" s="2" t="str">
        <f>"Method: each shaft is placed in a spine band "&amp;$B$6&amp;" lb wide and a weight band "&amp;$B$7&amp;" g wide. Every shaft sharing a band pair is therefore within "&amp;$B$6&amp;" lb of spine and "&amp;$B$7&amp;" g of weight of every other member. Group size is unrestricted."</f>
        <v>Method: each shaft is placed in a spine band 3 lb wide and a weight band 0.5 g wide. Every shaft sharing a band pair is therefore within 3 lb of spine and 0.5 g of weight of every other member. Group size is unrestricted.</v>
      </c>
    </row>
    <row r="3" spans="1:14" x14ac:dyDescent="0.25">
      <c r="A3" s="2" t="s">
        <v>164</v>
      </c>
    </row>
    <row r="5" spans="1:14" x14ac:dyDescent="0.25">
      <c r="A5" s="4" t="s">
        <v>165</v>
      </c>
      <c r="B5" s="5"/>
    </row>
    <row r="6" spans="1:14" x14ac:dyDescent="0.25">
      <c r="A6" t="s">
        <v>166</v>
      </c>
      <c r="B6" s="11">
        <f>ANALYSIS!$G$5</f>
        <v>3</v>
      </c>
    </row>
    <row r="7" spans="1:14" x14ac:dyDescent="0.25">
      <c r="A7" t="s">
        <v>167</v>
      </c>
      <c r="B7" s="11">
        <f>ANALYSIS!$G$6</f>
        <v>0.5</v>
      </c>
    </row>
    <row r="8" spans="1:14" x14ac:dyDescent="0.25">
      <c r="A8" t="s">
        <v>168</v>
      </c>
      <c r="B8" s="25">
        <f>ANALYSIS!$G$7</f>
        <v>3</v>
      </c>
    </row>
    <row r="9" spans="1:14" x14ac:dyDescent="0.25">
      <c r="A9" t="s">
        <v>175</v>
      </c>
      <c r="B9" s="20">
        <f>COUNTA(B15:B80)</f>
        <v>29</v>
      </c>
      <c r="C9" t="s">
        <v>178</v>
      </c>
      <c r="D9" s="20">
        <f>MAX(E15:E80)</f>
        <v>10</v>
      </c>
    </row>
    <row r="10" spans="1:14" x14ac:dyDescent="0.25">
      <c r="A10" t="s">
        <v>176</v>
      </c>
      <c r="B10" s="20">
        <f>COUNTIF(M15:M80,"Yes")</f>
        <v>15</v>
      </c>
      <c r="C10" t="s">
        <v>179</v>
      </c>
      <c r="D10" s="20">
        <f>COUNTIFS(M15:M80,"Yes",L15:L80,"Yes")</f>
        <v>12</v>
      </c>
    </row>
    <row r="11" spans="1:14" x14ac:dyDescent="0.25">
      <c r="A11" t="s">
        <v>177</v>
      </c>
      <c r="B11" s="20">
        <f>SUMIF(M15:M80,"Yes",E15:E80)</f>
        <v>79</v>
      </c>
      <c r="C11" t="s">
        <v>180</v>
      </c>
      <c r="D11" s="20">
        <f>SUMIFS(E15:E80,M15:M80,"Yes",L15:L80,"Yes")</f>
        <v>64</v>
      </c>
    </row>
    <row r="13" spans="1:14" ht="15.75" x14ac:dyDescent="0.25">
      <c r="A13" s="8" t="s">
        <v>169</v>
      </c>
    </row>
    <row r="14" spans="1:14" x14ac:dyDescent="0.25">
      <c r="A14" s="9" t="s">
        <v>170</v>
      </c>
      <c r="B14" s="4" t="s">
        <v>162</v>
      </c>
      <c r="C14" s="9" t="s">
        <v>160</v>
      </c>
      <c r="D14" s="9" t="s">
        <v>171</v>
      </c>
      <c r="E14" s="9" t="s">
        <v>142</v>
      </c>
      <c r="F14" s="9" t="s">
        <v>143</v>
      </c>
      <c r="G14" s="9" t="s">
        <v>144</v>
      </c>
      <c r="H14" s="9" t="s">
        <v>145</v>
      </c>
      <c r="I14" s="9" t="s">
        <v>146</v>
      </c>
      <c r="J14" s="9" t="s">
        <v>147</v>
      </c>
      <c r="K14" s="9" t="s">
        <v>148</v>
      </c>
      <c r="L14" s="9" t="s">
        <v>172</v>
      </c>
      <c r="M14" s="9" t="s">
        <v>173</v>
      </c>
      <c r="N14" s="9" t="s">
        <v>174</v>
      </c>
    </row>
    <row r="15" spans="1:14" x14ac:dyDescent="0.25">
      <c r="A15" s="18">
        <f>IF($B15="","",ROW()-14)</f>
        <v>1</v>
      </c>
      <c r="B15" t="str" cm="1">
        <f t="array" ref="B15:B43">_xlfn.SORTBY(_xlfn.UNIQUE(ANALYSIS!$O$31:$O$130),COUNTIF(ANALYSIS!$O$31:$O$130,_xlfn.UNIQUE(ANALYSIS!$O$31:$O$130)),-1,_xlfn.UNIQUE(ANALYSIS!$O$31:$O$130),1)</f>
        <v>54.0 lb / 23.5 g</v>
      </c>
      <c r="C15" s="13">
        <f>IF($B15="","",_xlfn.MINIFS(ANALYSIS!$M$31:$M$130,ANALYSIS!$O$31:$O$130,$B15))</f>
        <v>54</v>
      </c>
      <c r="D15" s="13">
        <f>IF($B15="","",_xlfn.MINIFS(ANALYSIS!$N$31:$N$130,ANALYSIS!$O$31:$O$130,$B15))</f>
        <v>23.5</v>
      </c>
      <c r="E15" s="20">
        <f>IF($B15="","",COUNTIF(ANALYSIS!$O$31:$O$130,$B15))</f>
        <v>10</v>
      </c>
      <c r="F15" s="12">
        <f>IF($B15="","",_xlfn.MINIFS(ANALYSIS!$E$31:$E$130,ANALYSIS!$O$31:$O$130,$B15))</f>
        <v>55</v>
      </c>
      <c r="G15" s="12">
        <f>IF($B15="","",_xlfn.MAXIFS(ANALYSIS!$E$31:$E$130,ANALYSIS!$O$31:$O$130,$B15))</f>
        <v>56</v>
      </c>
      <c r="H15" s="12">
        <f>IF($B15="","",G15-F15)</f>
        <v>1</v>
      </c>
      <c r="I15" s="12">
        <f>IF($B15="","",_xlfn.MINIFS(ANALYSIS!$G$31:$G$130,ANALYSIS!$O$31:$O$130,$B15))</f>
        <v>23.71</v>
      </c>
      <c r="J15" s="12">
        <f>IF($B15="","",_xlfn.MAXIFS(ANALYSIS!$G$31:$G$130,ANALYSIS!$O$31:$O$130,$B15))</f>
        <v>23.97</v>
      </c>
      <c r="K15" s="12">
        <f>IF($B15="","",J15-I15)</f>
        <v>0.25999999999999801</v>
      </c>
      <c r="L15" s="15" t="str">
        <f>IF($B15="","",IF(AND(F15&gt;=ANALYSIS!$B$5,G15&lt;=ANALYSIS!$B$6),"Yes","No"))</f>
        <v>Yes</v>
      </c>
      <c r="M15" s="15" t="str">
        <f>IF($B15="","",IF(E15&gt;=$B$8,"Yes","No"))</f>
        <v>Yes</v>
      </c>
      <c r="N15" t="str" cm="1">
        <f t="array" ref="N15">IF($B15="","",_xlfn.TEXTJOIN(", ",TRUE,IF(ANALYSIS!$O$31:$O$130=$B15,ANALYSIS!$B$31:$B$130,"")))</f>
        <v>19-06, 19-45, 20-03, 20-16, 20-21, 20-23, 20-33, 20-35, 20-44, 20-45</v>
      </c>
    </row>
    <row r="16" spans="1:14" x14ac:dyDescent="0.25">
      <c r="A16" s="18">
        <f t="shared" ref="A16:A79" si="0">IF($B16="","",ROW()-14)</f>
        <v>2</v>
      </c>
      <c r="B16" t="str">
        <v>54.0 lb / 23.0 g</v>
      </c>
      <c r="C16" s="13">
        <f>IF($B16="","",_xlfn.MINIFS(ANALYSIS!$M$31:$M$130,ANALYSIS!$O$31:$O$130,$B16))</f>
        <v>54</v>
      </c>
      <c r="D16" s="13">
        <f>IF($B16="","",_xlfn.MINIFS(ANALYSIS!$N$31:$N$130,ANALYSIS!$O$31:$O$130,$B16))</f>
        <v>23</v>
      </c>
      <c r="E16" s="20">
        <f>IF($B16="","",COUNTIF(ANALYSIS!$O$31:$O$130,$B16))</f>
        <v>9</v>
      </c>
      <c r="F16" s="12">
        <f>IF($B16="","",_xlfn.MINIFS(ANALYSIS!$E$31:$E$130,ANALYSIS!$O$31:$O$130,$B16))</f>
        <v>54</v>
      </c>
      <c r="G16" s="12">
        <f>IF($B16="","",_xlfn.MAXIFS(ANALYSIS!$E$31:$E$130,ANALYSIS!$O$31:$O$130,$B16))</f>
        <v>56</v>
      </c>
      <c r="H16" s="12">
        <f t="shared" ref="H16:H79" si="1">IF($B16="","",G16-F16)</f>
        <v>2</v>
      </c>
      <c r="I16" s="12">
        <f>IF($B16="","",_xlfn.MINIFS(ANALYSIS!$G$31:$G$130,ANALYSIS!$O$31:$O$130,$B16))</f>
        <v>23.1</v>
      </c>
      <c r="J16" s="12">
        <f>IF($B16="","",_xlfn.MAXIFS(ANALYSIS!$G$31:$G$130,ANALYSIS!$O$31:$O$130,$B16))</f>
        <v>23.49</v>
      </c>
      <c r="K16" s="12">
        <f t="shared" ref="K16:K79" si="2">IF($B16="","",J16-I16)</f>
        <v>0.38999999999999702</v>
      </c>
      <c r="L16" s="15" t="str">
        <f>IF($B16="","",IF(AND(F16&gt;=ANALYSIS!$B$5,G16&lt;=ANALYSIS!$B$6),"Yes","No"))</f>
        <v>Yes</v>
      </c>
      <c r="M16" s="15" t="str">
        <f t="shared" ref="M16:M79" si="3">IF($B16="","",IF(E16&gt;=$B$8,"Yes","No"))</f>
        <v>Yes</v>
      </c>
      <c r="N16" t="str" cm="1">
        <f t="array" ref="N16">IF($B16="","",_xlfn.TEXTJOIN(", ",TRUE,IF(ANALYSIS!$O$31:$O$130=$B16,ANALYSIS!$B$31:$B$130,"")))</f>
        <v>19-01, 19-14, 19-15, 19-22, 19-28, 19-35, 19-43, 20-07, 20-26</v>
      </c>
    </row>
    <row r="17" spans="1:14" x14ac:dyDescent="0.25">
      <c r="A17" s="18">
        <f t="shared" si="0"/>
        <v>3</v>
      </c>
      <c r="B17" t="str">
        <v>51.0 lb / 21.5 g</v>
      </c>
      <c r="C17" s="13">
        <f>IF($B17="","",_xlfn.MINIFS(ANALYSIS!$M$31:$M$130,ANALYSIS!$O$31:$O$130,$B17))</f>
        <v>51</v>
      </c>
      <c r="D17" s="13">
        <f>IF($B17="","",_xlfn.MINIFS(ANALYSIS!$N$31:$N$130,ANALYSIS!$O$31:$O$130,$B17))</f>
        <v>21.5</v>
      </c>
      <c r="E17" s="20">
        <f>IF($B17="","",COUNTIF(ANALYSIS!$O$31:$O$130,$B17))</f>
        <v>6</v>
      </c>
      <c r="F17" s="12">
        <f>IF($B17="","",_xlfn.MINIFS(ANALYSIS!$E$31:$E$130,ANALYSIS!$O$31:$O$130,$B17))</f>
        <v>51</v>
      </c>
      <c r="G17" s="12">
        <f>IF($B17="","",_xlfn.MAXIFS(ANALYSIS!$E$31:$E$130,ANALYSIS!$O$31:$O$130,$B17))</f>
        <v>53.5</v>
      </c>
      <c r="H17" s="12">
        <f t="shared" si="1"/>
        <v>2.5</v>
      </c>
      <c r="I17" s="12">
        <f>IF($B17="","",_xlfn.MINIFS(ANALYSIS!$G$31:$G$130,ANALYSIS!$O$31:$O$130,$B17))</f>
        <v>21.54</v>
      </c>
      <c r="J17" s="12">
        <f>IF($B17="","",_xlfn.MAXIFS(ANALYSIS!$G$31:$G$130,ANALYSIS!$O$31:$O$130,$B17))</f>
        <v>21.81</v>
      </c>
      <c r="K17" s="12">
        <f t="shared" si="2"/>
        <v>0.26999999999999957</v>
      </c>
      <c r="L17" s="15" t="str">
        <f>IF($B17="","",IF(AND(F17&gt;=ANALYSIS!$B$5,G17&lt;=ANALYSIS!$B$6),"Yes","No"))</f>
        <v>No</v>
      </c>
      <c r="M17" s="15" t="str">
        <f t="shared" si="3"/>
        <v>Yes</v>
      </c>
      <c r="N17" t="str" cm="1">
        <f t="array" ref="N17">IF($B17="","",_xlfn.TEXTJOIN(", ",TRUE,IF(ANALYSIS!$O$31:$O$130=$B17,ANALYSIS!$B$31:$B$130,"")))</f>
        <v>19-07, 19-08, 19-18, 19-44, 20-40, 20-47</v>
      </c>
    </row>
    <row r="18" spans="1:14" x14ac:dyDescent="0.25">
      <c r="A18" s="18">
        <f t="shared" si="0"/>
        <v>4</v>
      </c>
      <c r="B18" t="str">
        <v>54.0 lb / 25.0 g</v>
      </c>
      <c r="C18" s="13">
        <f>IF($B18="","",_xlfn.MINIFS(ANALYSIS!$M$31:$M$130,ANALYSIS!$O$31:$O$130,$B18))</f>
        <v>54</v>
      </c>
      <c r="D18" s="13">
        <f>IF($B18="","",_xlfn.MINIFS(ANALYSIS!$N$31:$N$130,ANALYSIS!$O$31:$O$130,$B18))</f>
        <v>25</v>
      </c>
      <c r="E18" s="20">
        <f>IF($B18="","",COUNTIF(ANALYSIS!$O$31:$O$130,$B18))</f>
        <v>6</v>
      </c>
      <c r="F18" s="12">
        <f>IF($B18="","",_xlfn.MINIFS(ANALYSIS!$E$31:$E$130,ANALYSIS!$O$31:$O$130,$B18))</f>
        <v>55</v>
      </c>
      <c r="G18" s="12">
        <f>IF($B18="","",_xlfn.MAXIFS(ANALYSIS!$E$31:$E$130,ANALYSIS!$O$31:$O$130,$B18))</f>
        <v>56.5</v>
      </c>
      <c r="H18" s="12">
        <f t="shared" si="1"/>
        <v>1.5</v>
      </c>
      <c r="I18" s="12">
        <f>IF($B18="","",_xlfn.MINIFS(ANALYSIS!$G$31:$G$130,ANALYSIS!$O$31:$O$130,$B18))</f>
        <v>25.09</v>
      </c>
      <c r="J18" s="12">
        <f>IF($B18="","",_xlfn.MAXIFS(ANALYSIS!$G$31:$G$130,ANALYSIS!$O$31:$O$130,$B18))</f>
        <v>25.35</v>
      </c>
      <c r="K18" s="12">
        <f t="shared" si="2"/>
        <v>0.26000000000000156</v>
      </c>
      <c r="L18" s="15" t="str">
        <f>IF($B18="","",IF(AND(F18&gt;=ANALYSIS!$B$5,G18&lt;=ANALYSIS!$B$6),"Yes","No"))</f>
        <v>Yes</v>
      </c>
      <c r="M18" s="15" t="str">
        <f t="shared" si="3"/>
        <v>Yes</v>
      </c>
      <c r="N18" t="str" cm="1">
        <f t="array" ref="N18">IF($B18="","",_xlfn.TEXTJOIN(", ",TRUE,IF(ANALYSIS!$O$31:$O$130=$B18,ANALYSIS!$B$31:$B$130,"")))</f>
        <v>19-17, 19-23, 19-50, 20-09, 20-18, 20-29</v>
      </c>
    </row>
    <row r="19" spans="1:14" x14ac:dyDescent="0.25">
      <c r="A19" s="18">
        <f t="shared" si="0"/>
        <v>5</v>
      </c>
      <c r="B19" t="str">
        <v>51.0 lb / 23.0 g</v>
      </c>
      <c r="C19" s="13">
        <f>IF($B19="","",_xlfn.MINIFS(ANALYSIS!$M$31:$M$130,ANALYSIS!$O$31:$O$130,$B19))</f>
        <v>51</v>
      </c>
      <c r="D19" s="13">
        <f>IF($B19="","",_xlfn.MINIFS(ANALYSIS!$N$31:$N$130,ANALYSIS!$O$31:$O$130,$B19))</f>
        <v>23</v>
      </c>
      <c r="E19" s="20">
        <f>IF($B19="","",COUNTIF(ANALYSIS!$O$31:$O$130,$B19))</f>
        <v>5</v>
      </c>
      <c r="F19" s="12">
        <f>IF($B19="","",_xlfn.MINIFS(ANALYSIS!$E$31:$E$130,ANALYSIS!$O$31:$O$130,$B19))</f>
        <v>52</v>
      </c>
      <c r="G19" s="12">
        <f>IF($B19="","",_xlfn.MAXIFS(ANALYSIS!$E$31:$E$130,ANALYSIS!$O$31:$O$130,$B19))</f>
        <v>53</v>
      </c>
      <c r="H19" s="12">
        <f t="shared" si="1"/>
        <v>1</v>
      </c>
      <c r="I19" s="12">
        <f>IF($B19="","",_xlfn.MINIFS(ANALYSIS!$G$31:$G$130,ANALYSIS!$O$31:$O$130,$B19))</f>
        <v>23.02</v>
      </c>
      <c r="J19" s="12">
        <f>IF($B19="","",_xlfn.MAXIFS(ANALYSIS!$G$31:$G$130,ANALYSIS!$O$31:$O$130,$B19))</f>
        <v>23.46</v>
      </c>
      <c r="K19" s="12">
        <f t="shared" si="2"/>
        <v>0.44000000000000128</v>
      </c>
      <c r="L19" s="15" t="str">
        <f>IF($B19="","",IF(AND(F19&gt;=ANALYSIS!$B$5,G19&lt;=ANALYSIS!$B$6),"Yes","No"))</f>
        <v>No</v>
      </c>
      <c r="M19" s="15" t="str">
        <f t="shared" si="3"/>
        <v>Yes</v>
      </c>
      <c r="N19" t="str" cm="1">
        <f t="array" ref="N19">IF($B19="","",_xlfn.TEXTJOIN(", ",TRUE,IF(ANALYSIS!$O$31:$O$130=$B19,ANALYSIS!$B$31:$B$130,"")))</f>
        <v>19-11, 19-40, 19-48, 20-02, 20-14</v>
      </c>
    </row>
    <row r="20" spans="1:14" x14ac:dyDescent="0.25">
      <c r="A20" s="18">
        <f t="shared" si="0"/>
        <v>6</v>
      </c>
      <c r="B20" t="str">
        <v>54.0 lb / 22.0 g</v>
      </c>
      <c r="C20" s="13">
        <f>IF($B20="","",_xlfn.MINIFS(ANALYSIS!$M$31:$M$130,ANALYSIS!$O$31:$O$130,$B20))</f>
        <v>54</v>
      </c>
      <c r="D20" s="13">
        <f>IF($B20="","",_xlfn.MINIFS(ANALYSIS!$N$31:$N$130,ANALYSIS!$O$31:$O$130,$B20))</f>
        <v>22</v>
      </c>
      <c r="E20" s="20">
        <f>IF($B20="","",COUNTIF(ANALYSIS!$O$31:$O$130,$B20))</f>
        <v>5</v>
      </c>
      <c r="F20" s="12">
        <f>IF($B20="","",_xlfn.MINIFS(ANALYSIS!$E$31:$E$130,ANALYSIS!$O$31:$O$130,$B20))</f>
        <v>55</v>
      </c>
      <c r="G20" s="12">
        <f>IF($B20="","",_xlfn.MAXIFS(ANALYSIS!$E$31:$E$130,ANALYSIS!$O$31:$O$130,$B20))</f>
        <v>56</v>
      </c>
      <c r="H20" s="12">
        <f t="shared" si="1"/>
        <v>1</v>
      </c>
      <c r="I20" s="12">
        <f>IF($B20="","",_xlfn.MINIFS(ANALYSIS!$G$31:$G$130,ANALYSIS!$O$31:$O$130,$B20))</f>
        <v>22.26</v>
      </c>
      <c r="J20" s="12">
        <f>IF($B20="","",_xlfn.MAXIFS(ANALYSIS!$G$31:$G$130,ANALYSIS!$O$31:$O$130,$B20))</f>
        <v>22.45</v>
      </c>
      <c r="K20" s="12">
        <f t="shared" si="2"/>
        <v>0.18999999999999773</v>
      </c>
      <c r="L20" s="15" t="str">
        <f>IF($B20="","",IF(AND(F20&gt;=ANALYSIS!$B$5,G20&lt;=ANALYSIS!$B$6),"Yes","No"))</f>
        <v>Yes</v>
      </c>
      <c r="M20" s="15" t="str">
        <f t="shared" si="3"/>
        <v>Yes</v>
      </c>
      <c r="N20" t="str" cm="1">
        <f t="array" ref="N20">IF($B20="","",_xlfn.TEXTJOIN(", ",TRUE,IF(ANALYSIS!$O$31:$O$130=$B20,ANALYSIS!$B$31:$B$130,"")))</f>
        <v>19-34, 20-05, 20-06, 20-12, 20-22</v>
      </c>
    </row>
    <row r="21" spans="1:14" x14ac:dyDescent="0.25">
      <c r="A21" s="18">
        <f t="shared" si="0"/>
        <v>7</v>
      </c>
      <c r="B21" t="str">
        <v>54.0 lb / 24.0 g</v>
      </c>
      <c r="C21" s="13">
        <f>IF($B21="","",_xlfn.MINIFS(ANALYSIS!$M$31:$M$130,ANALYSIS!$O$31:$O$130,$B21))</f>
        <v>54</v>
      </c>
      <c r="D21" s="13">
        <f>IF($B21="","",_xlfn.MINIFS(ANALYSIS!$N$31:$N$130,ANALYSIS!$O$31:$O$130,$B21))</f>
        <v>24</v>
      </c>
      <c r="E21" s="20">
        <f>IF($B21="","",COUNTIF(ANALYSIS!$O$31:$O$130,$B21))</f>
        <v>5</v>
      </c>
      <c r="F21" s="12">
        <f>IF($B21="","",_xlfn.MINIFS(ANALYSIS!$E$31:$E$130,ANALYSIS!$O$31:$O$130,$B21))</f>
        <v>55</v>
      </c>
      <c r="G21" s="12">
        <f>IF($B21="","",_xlfn.MAXIFS(ANALYSIS!$E$31:$E$130,ANALYSIS!$O$31:$O$130,$B21))</f>
        <v>56.5</v>
      </c>
      <c r="H21" s="12">
        <f t="shared" si="1"/>
        <v>1.5</v>
      </c>
      <c r="I21" s="12">
        <f>IF($B21="","",_xlfn.MINIFS(ANALYSIS!$G$31:$G$130,ANALYSIS!$O$31:$O$130,$B21))</f>
        <v>24.03</v>
      </c>
      <c r="J21" s="12">
        <f>IF($B21="","",_xlfn.MAXIFS(ANALYSIS!$G$31:$G$130,ANALYSIS!$O$31:$O$130,$B21))</f>
        <v>24.35</v>
      </c>
      <c r="K21" s="12">
        <f t="shared" si="2"/>
        <v>0.32000000000000028</v>
      </c>
      <c r="L21" s="15" t="str">
        <f>IF($B21="","",IF(AND(F21&gt;=ANALYSIS!$B$5,G21&lt;=ANALYSIS!$B$6),"Yes","No"))</f>
        <v>Yes</v>
      </c>
      <c r="M21" s="15" t="str">
        <f t="shared" si="3"/>
        <v>Yes</v>
      </c>
      <c r="N21" t="str" cm="1">
        <f t="array" ref="N21">IF($B21="","",_xlfn.TEXTJOIN(", ",TRUE,IF(ANALYSIS!$O$31:$O$130=$B21,ANALYSIS!$B$31:$B$130,"")))</f>
        <v>19-04, 19-46, 20-10, 20-25, 20-28</v>
      </c>
    </row>
    <row r="22" spans="1:14" x14ac:dyDescent="0.25">
      <c r="A22" s="18">
        <f t="shared" si="0"/>
        <v>8</v>
      </c>
      <c r="B22" t="str">
        <v>54.0 lb / 25.5 g</v>
      </c>
      <c r="C22" s="13">
        <f>IF($B22="","",_xlfn.MINIFS(ANALYSIS!$M$31:$M$130,ANALYSIS!$O$31:$O$130,$B22))</f>
        <v>54</v>
      </c>
      <c r="D22" s="13">
        <f>IF($B22="","",_xlfn.MINIFS(ANALYSIS!$N$31:$N$130,ANALYSIS!$O$31:$O$130,$B22))</f>
        <v>25.5</v>
      </c>
      <c r="E22" s="20">
        <f>IF($B22="","",COUNTIF(ANALYSIS!$O$31:$O$130,$B22))</f>
        <v>5</v>
      </c>
      <c r="F22" s="12">
        <f>IF($B22="","",_xlfn.MINIFS(ANALYSIS!$E$31:$E$130,ANALYSIS!$O$31:$O$130,$B22))</f>
        <v>55</v>
      </c>
      <c r="G22" s="12">
        <f>IF($B22="","",_xlfn.MAXIFS(ANALYSIS!$E$31:$E$130,ANALYSIS!$O$31:$O$130,$B22))</f>
        <v>56</v>
      </c>
      <c r="H22" s="12">
        <f t="shared" si="1"/>
        <v>1</v>
      </c>
      <c r="I22" s="12">
        <f>IF($B22="","",_xlfn.MINIFS(ANALYSIS!$G$31:$G$130,ANALYSIS!$O$31:$O$130,$B22))</f>
        <v>25.5</v>
      </c>
      <c r="J22" s="12">
        <f>IF($B22="","",_xlfn.MAXIFS(ANALYSIS!$G$31:$G$130,ANALYSIS!$O$31:$O$130,$B22))</f>
        <v>25.9</v>
      </c>
      <c r="K22" s="12">
        <f t="shared" si="2"/>
        <v>0.39999999999999858</v>
      </c>
      <c r="L22" s="15" t="str">
        <f>IF($B22="","",IF(AND(F22&gt;=ANALYSIS!$B$5,G22&lt;=ANALYSIS!$B$6),"Yes","No"))</f>
        <v>Yes</v>
      </c>
      <c r="M22" s="15" t="str">
        <f t="shared" si="3"/>
        <v>Yes</v>
      </c>
      <c r="N22" t="str" cm="1">
        <f t="array" ref="N22">IF($B22="","",_xlfn.TEXTJOIN(", ",TRUE,IF(ANALYSIS!$O$31:$O$130=$B22,ANALYSIS!$B$31:$B$130,"")))</f>
        <v>19-21, 19-31, 19-42, 19-49, 20-13</v>
      </c>
    </row>
    <row r="23" spans="1:14" x14ac:dyDescent="0.25">
      <c r="A23" s="18">
        <f t="shared" si="0"/>
        <v>9</v>
      </c>
      <c r="B23" t="str">
        <v>57.0 lb / 24.0 g</v>
      </c>
      <c r="C23" s="13">
        <f>IF($B23="","",_xlfn.MINIFS(ANALYSIS!$M$31:$M$130,ANALYSIS!$O$31:$O$130,$B23))</f>
        <v>57</v>
      </c>
      <c r="D23" s="13">
        <f>IF($B23="","",_xlfn.MINIFS(ANALYSIS!$N$31:$N$130,ANALYSIS!$O$31:$O$130,$B23))</f>
        <v>24</v>
      </c>
      <c r="E23" s="20">
        <f>IF($B23="","",COUNTIF(ANALYSIS!$O$31:$O$130,$B23))</f>
        <v>5</v>
      </c>
      <c r="F23" s="12">
        <f>IF($B23="","",_xlfn.MINIFS(ANALYSIS!$E$31:$E$130,ANALYSIS!$O$31:$O$130,$B23))</f>
        <v>57</v>
      </c>
      <c r="G23" s="12">
        <f>IF($B23="","",_xlfn.MAXIFS(ANALYSIS!$E$31:$E$130,ANALYSIS!$O$31:$O$130,$B23))</f>
        <v>58.5</v>
      </c>
      <c r="H23" s="12">
        <f t="shared" si="1"/>
        <v>1.5</v>
      </c>
      <c r="I23" s="12">
        <f>IF($B23="","",_xlfn.MINIFS(ANALYSIS!$G$31:$G$130,ANALYSIS!$O$31:$O$130,$B23))</f>
        <v>24.15</v>
      </c>
      <c r="J23" s="12">
        <f>IF($B23="","",_xlfn.MAXIFS(ANALYSIS!$G$31:$G$130,ANALYSIS!$O$31:$O$130,$B23))</f>
        <v>24.48</v>
      </c>
      <c r="K23" s="12">
        <f t="shared" si="2"/>
        <v>0.33000000000000185</v>
      </c>
      <c r="L23" s="15" t="str">
        <f>IF($B23="","",IF(AND(F23&gt;=ANALYSIS!$B$5,G23&lt;=ANALYSIS!$B$6),"Yes","No"))</f>
        <v>Yes</v>
      </c>
      <c r="M23" s="15" t="str">
        <f t="shared" si="3"/>
        <v>Yes</v>
      </c>
      <c r="N23" t="str" cm="1">
        <f t="array" ref="N23">IF($B23="","",_xlfn.TEXTJOIN(", ",TRUE,IF(ANALYSIS!$O$31:$O$130=$B23,ANALYSIS!$B$31:$B$130,"")))</f>
        <v>19-12, 19-25, 20-24, 20-46, 20-50</v>
      </c>
    </row>
    <row r="24" spans="1:14" x14ac:dyDescent="0.25">
      <c r="A24" s="18">
        <f t="shared" si="0"/>
        <v>10</v>
      </c>
      <c r="B24" t="str">
        <v>51.0 lb / 22.0 g</v>
      </c>
      <c r="C24" s="13">
        <f>IF($B24="","",_xlfn.MINIFS(ANALYSIS!$M$31:$M$130,ANALYSIS!$O$31:$O$130,$B24))</f>
        <v>51</v>
      </c>
      <c r="D24" s="13">
        <f>IF($B24="","",_xlfn.MINIFS(ANALYSIS!$N$31:$N$130,ANALYSIS!$O$31:$O$130,$B24))</f>
        <v>22</v>
      </c>
      <c r="E24" s="20">
        <f>IF($B24="","",COUNTIF(ANALYSIS!$O$31:$O$130,$B24))</f>
        <v>4</v>
      </c>
      <c r="F24" s="12">
        <f>IF($B24="","",_xlfn.MINIFS(ANALYSIS!$E$31:$E$130,ANALYSIS!$O$31:$O$130,$B24))</f>
        <v>51.5</v>
      </c>
      <c r="G24" s="12">
        <f>IF($B24="","",_xlfn.MAXIFS(ANALYSIS!$E$31:$E$130,ANALYSIS!$O$31:$O$130,$B24))</f>
        <v>53</v>
      </c>
      <c r="H24" s="12">
        <f t="shared" si="1"/>
        <v>1.5</v>
      </c>
      <c r="I24" s="12">
        <f>IF($B24="","",_xlfn.MINIFS(ANALYSIS!$G$31:$G$130,ANALYSIS!$O$31:$O$130,$B24))</f>
        <v>22.06</v>
      </c>
      <c r="J24" s="12">
        <f>IF($B24="","",_xlfn.MAXIFS(ANALYSIS!$G$31:$G$130,ANALYSIS!$O$31:$O$130,$B24))</f>
        <v>22.36</v>
      </c>
      <c r="K24" s="12">
        <f t="shared" si="2"/>
        <v>0.30000000000000071</v>
      </c>
      <c r="L24" s="15" t="str">
        <f>IF($B24="","",IF(AND(F24&gt;=ANALYSIS!$B$5,G24&lt;=ANALYSIS!$B$6),"Yes","No"))</f>
        <v>No</v>
      </c>
      <c r="M24" s="15" t="str">
        <f t="shared" si="3"/>
        <v>Yes</v>
      </c>
      <c r="N24" t="str" cm="1">
        <f t="array" ref="N24">IF($B24="","",_xlfn.TEXTJOIN(", ",TRUE,IF(ANALYSIS!$O$31:$O$130=$B24,ANALYSIS!$B$31:$B$130,"")))</f>
        <v>19-03, 20-20, 20-31, 20-39</v>
      </c>
    </row>
    <row r="25" spans="1:14" x14ac:dyDescent="0.25">
      <c r="A25" s="18">
        <f t="shared" si="0"/>
        <v>11</v>
      </c>
      <c r="B25" t="str">
        <v>54.0 lb / 21.5 g</v>
      </c>
      <c r="C25" s="13">
        <f>IF($B25="","",_xlfn.MINIFS(ANALYSIS!$M$31:$M$130,ANALYSIS!$O$31:$O$130,$B25))</f>
        <v>54</v>
      </c>
      <c r="D25" s="13">
        <f>IF($B25="","",_xlfn.MINIFS(ANALYSIS!$N$31:$N$130,ANALYSIS!$O$31:$O$130,$B25))</f>
        <v>21.5</v>
      </c>
      <c r="E25" s="20">
        <f>IF($B25="","",COUNTIF(ANALYSIS!$O$31:$O$130,$B25))</f>
        <v>4</v>
      </c>
      <c r="F25" s="12">
        <f>IF($B25="","",_xlfn.MINIFS(ANALYSIS!$E$31:$E$130,ANALYSIS!$O$31:$O$130,$B25))</f>
        <v>55.5</v>
      </c>
      <c r="G25" s="12">
        <f>IF($B25="","",_xlfn.MAXIFS(ANALYSIS!$E$31:$E$130,ANALYSIS!$O$31:$O$130,$B25))</f>
        <v>56</v>
      </c>
      <c r="H25" s="12">
        <f t="shared" si="1"/>
        <v>0.5</v>
      </c>
      <c r="I25" s="12">
        <f>IF($B25="","",_xlfn.MINIFS(ANALYSIS!$G$31:$G$130,ANALYSIS!$O$31:$O$130,$B25))</f>
        <v>21.5</v>
      </c>
      <c r="J25" s="12">
        <f>IF($B25="","",_xlfn.MAXIFS(ANALYSIS!$G$31:$G$130,ANALYSIS!$O$31:$O$130,$B25))</f>
        <v>21.93</v>
      </c>
      <c r="K25" s="12">
        <f t="shared" si="2"/>
        <v>0.42999999999999972</v>
      </c>
      <c r="L25" s="15" t="str">
        <f>IF($B25="","",IF(AND(F25&gt;=ANALYSIS!$B$5,G25&lt;=ANALYSIS!$B$6),"Yes","No"))</f>
        <v>Yes</v>
      </c>
      <c r="M25" s="15" t="str">
        <f t="shared" si="3"/>
        <v>Yes</v>
      </c>
      <c r="N25" t="str" cm="1">
        <f t="array" ref="N25">IF($B25="","",_xlfn.TEXTJOIN(", ",TRUE,IF(ANALYSIS!$O$31:$O$130=$B25,ANALYSIS!$B$31:$B$130,"")))</f>
        <v>19-05, 19-16, 19-19, 20-27</v>
      </c>
    </row>
    <row r="26" spans="1:14" x14ac:dyDescent="0.25">
      <c r="A26" s="18">
        <f t="shared" si="0"/>
        <v>12</v>
      </c>
      <c r="B26" t="str">
        <v>54.0 lb / 22.5 g</v>
      </c>
      <c r="C26" s="13">
        <f>IF($B26="","",_xlfn.MINIFS(ANALYSIS!$M$31:$M$130,ANALYSIS!$O$31:$O$130,$B26))</f>
        <v>54</v>
      </c>
      <c r="D26" s="13">
        <f>IF($B26="","",_xlfn.MINIFS(ANALYSIS!$N$31:$N$130,ANALYSIS!$O$31:$O$130,$B26))</f>
        <v>22.5</v>
      </c>
      <c r="E26" s="20">
        <f>IF($B26="","",COUNTIF(ANALYSIS!$O$31:$O$130,$B26))</f>
        <v>4</v>
      </c>
      <c r="F26" s="12">
        <f>IF($B26="","",_xlfn.MINIFS(ANALYSIS!$E$31:$E$130,ANALYSIS!$O$31:$O$130,$B26))</f>
        <v>55</v>
      </c>
      <c r="G26" s="12">
        <f>IF($B26="","",_xlfn.MAXIFS(ANALYSIS!$E$31:$E$130,ANALYSIS!$O$31:$O$130,$B26))</f>
        <v>55.5</v>
      </c>
      <c r="H26" s="12">
        <f t="shared" si="1"/>
        <v>0.5</v>
      </c>
      <c r="I26" s="12">
        <f>IF($B26="","",_xlfn.MINIFS(ANALYSIS!$G$31:$G$130,ANALYSIS!$O$31:$O$130,$B26))</f>
        <v>22.62</v>
      </c>
      <c r="J26" s="12">
        <f>IF($B26="","",_xlfn.MAXIFS(ANALYSIS!$G$31:$G$130,ANALYSIS!$O$31:$O$130,$B26))</f>
        <v>22.98</v>
      </c>
      <c r="K26" s="12">
        <f t="shared" si="2"/>
        <v>0.35999999999999943</v>
      </c>
      <c r="L26" s="15" t="str">
        <f>IF($B26="","",IF(AND(F26&gt;=ANALYSIS!$B$5,G26&lt;=ANALYSIS!$B$6),"Yes","No"))</f>
        <v>Yes</v>
      </c>
      <c r="M26" s="15" t="str">
        <f t="shared" si="3"/>
        <v>Yes</v>
      </c>
      <c r="N26" t="str" cm="1">
        <f t="array" ref="N26">IF($B26="","",_xlfn.TEXTJOIN(", ",TRUE,IF(ANALYSIS!$O$31:$O$130=$B26,ANALYSIS!$B$31:$B$130,"")))</f>
        <v>19-20, 20-01, 20-30, 20-36</v>
      </c>
    </row>
    <row r="27" spans="1:14" x14ac:dyDescent="0.25">
      <c r="A27" s="18">
        <f t="shared" si="0"/>
        <v>13</v>
      </c>
      <c r="B27" t="str">
        <v>57.0 lb / 23.0 g</v>
      </c>
      <c r="C27" s="13">
        <f>IF($B27="","",_xlfn.MINIFS(ANALYSIS!$M$31:$M$130,ANALYSIS!$O$31:$O$130,$B27))</f>
        <v>57</v>
      </c>
      <c r="D27" s="13">
        <f>IF($B27="","",_xlfn.MINIFS(ANALYSIS!$N$31:$N$130,ANALYSIS!$O$31:$O$130,$B27))</f>
        <v>23</v>
      </c>
      <c r="E27" s="20">
        <f>IF($B27="","",COUNTIF(ANALYSIS!$O$31:$O$130,$B27))</f>
        <v>4</v>
      </c>
      <c r="F27" s="12">
        <f>IF($B27="","",_xlfn.MINIFS(ANALYSIS!$E$31:$E$130,ANALYSIS!$O$31:$O$130,$B27))</f>
        <v>57</v>
      </c>
      <c r="G27" s="12">
        <f>IF($B27="","",_xlfn.MAXIFS(ANALYSIS!$E$31:$E$130,ANALYSIS!$O$31:$O$130,$B27))</f>
        <v>59</v>
      </c>
      <c r="H27" s="12">
        <f t="shared" si="1"/>
        <v>2</v>
      </c>
      <c r="I27" s="12">
        <f>IF($B27="","",_xlfn.MINIFS(ANALYSIS!$G$31:$G$130,ANALYSIS!$O$31:$O$130,$B27))</f>
        <v>23</v>
      </c>
      <c r="J27" s="12">
        <f>IF($B27="","",_xlfn.MAXIFS(ANALYSIS!$G$31:$G$130,ANALYSIS!$O$31:$O$130,$B27))</f>
        <v>23.44</v>
      </c>
      <c r="K27" s="12">
        <f t="shared" si="2"/>
        <v>0.44000000000000128</v>
      </c>
      <c r="L27" s="15" t="str">
        <f>IF($B27="","",IF(AND(F27&gt;=ANALYSIS!$B$5,G27&lt;=ANALYSIS!$B$6),"Yes","No"))</f>
        <v>Yes</v>
      </c>
      <c r="M27" s="15" t="str">
        <f t="shared" si="3"/>
        <v>Yes</v>
      </c>
      <c r="N27" t="str" cm="1">
        <f t="array" ref="N27">IF($B27="","",_xlfn.TEXTJOIN(", ",TRUE,IF(ANALYSIS!$O$31:$O$130=$B27,ANALYSIS!$B$31:$B$130,"")))</f>
        <v>19-24, 19-33, 19-36, 20-38</v>
      </c>
    </row>
    <row r="28" spans="1:14" x14ac:dyDescent="0.25">
      <c r="A28" s="18">
        <f t="shared" si="0"/>
        <v>14</v>
      </c>
      <c r="B28" t="str">
        <v>57.0 lb / 23.5 g</v>
      </c>
      <c r="C28" s="13">
        <f>IF($B28="","",_xlfn.MINIFS(ANALYSIS!$M$31:$M$130,ANALYSIS!$O$31:$O$130,$B28))</f>
        <v>57</v>
      </c>
      <c r="D28" s="13">
        <f>IF($B28="","",_xlfn.MINIFS(ANALYSIS!$N$31:$N$130,ANALYSIS!$O$31:$O$130,$B28))</f>
        <v>23.5</v>
      </c>
      <c r="E28" s="20">
        <f>IF($B28="","",COUNTIF(ANALYSIS!$O$31:$O$130,$B28))</f>
        <v>4</v>
      </c>
      <c r="F28" s="12">
        <f>IF($B28="","",_xlfn.MINIFS(ANALYSIS!$E$31:$E$130,ANALYSIS!$O$31:$O$130,$B28))</f>
        <v>57</v>
      </c>
      <c r="G28" s="12">
        <f>IF($B28="","",_xlfn.MAXIFS(ANALYSIS!$E$31:$E$130,ANALYSIS!$O$31:$O$130,$B28))</f>
        <v>59</v>
      </c>
      <c r="H28" s="12">
        <f t="shared" si="1"/>
        <v>2</v>
      </c>
      <c r="I28" s="12">
        <f>IF($B28="","",_xlfn.MINIFS(ANALYSIS!$G$31:$G$130,ANALYSIS!$O$31:$O$130,$B28))</f>
        <v>23.56</v>
      </c>
      <c r="J28" s="12">
        <f>IF($B28="","",_xlfn.MAXIFS(ANALYSIS!$G$31:$G$130,ANALYSIS!$O$31:$O$130,$B28))</f>
        <v>23.96</v>
      </c>
      <c r="K28" s="12">
        <f t="shared" si="2"/>
        <v>0.40000000000000213</v>
      </c>
      <c r="L28" s="15" t="str">
        <f>IF($B28="","",IF(AND(F28&gt;=ANALYSIS!$B$5,G28&lt;=ANALYSIS!$B$6),"Yes","No"))</f>
        <v>Yes</v>
      </c>
      <c r="M28" s="15" t="str">
        <f t="shared" si="3"/>
        <v>Yes</v>
      </c>
      <c r="N28" t="str" cm="1">
        <f t="array" ref="N28">IF($B28="","",_xlfn.TEXTJOIN(", ",TRUE,IF(ANALYSIS!$O$31:$O$130=$B28,ANALYSIS!$B$31:$B$130,"")))</f>
        <v>19-37, 20-04, 20-08, 20-15</v>
      </c>
    </row>
    <row r="29" spans="1:14" x14ac:dyDescent="0.25">
      <c r="A29" s="18">
        <f t="shared" si="0"/>
        <v>15</v>
      </c>
      <c r="B29" t="str">
        <v>57.0 lb / 25.0 g</v>
      </c>
      <c r="C29" s="13">
        <f>IF($B29="","",_xlfn.MINIFS(ANALYSIS!$M$31:$M$130,ANALYSIS!$O$31:$O$130,$B29))</f>
        <v>57</v>
      </c>
      <c r="D29" s="13">
        <f>IF($B29="","",_xlfn.MINIFS(ANALYSIS!$N$31:$N$130,ANALYSIS!$O$31:$O$130,$B29))</f>
        <v>25</v>
      </c>
      <c r="E29" s="20">
        <f>IF($B29="","",COUNTIF(ANALYSIS!$O$31:$O$130,$B29))</f>
        <v>3</v>
      </c>
      <c r="F29" s="12">
        <f>IF($B29="","",_xlfn.MINIFS(ANALYSIS!$E$31:$E$130,ANALYSIS!$O$31:$O$130,$B29))</f>
        <v>57.5</v>
      </c>
      <c r="G29" s="12">
        <f>IF($B29="","",_xlfn.MAXIFS(ANALYSIS!$E$31:$E$130,ANALYSIS!$O$31:$O$130,$B29))</f>
        <v>58.5</v>
      </c>
      <c r="H29" s="12">
        <f t="shared" si="1"/>
        <v>1</v>
      </c>
      <c r="I29" s="12">
        <f>IF($B29="","",_xlfn.MINIFS(ANALYSIS!$G$31:$G$130,ANALYSIS!$O$31:$O$130,$B29))</f>
        <v>25.22</v>
      </c>
      <c r="J29" s="12">
        <f>IF($B29="","",_xlfn.MAXIFS(ANALYSIS!$G$31:$G$130,ANALYSIS!$O$31:$O$130,$B29))</f>
        <v>25.48</v>
      </c>
      <c r="K29" s="12">
        <f t="shared" si="2"/>
        <v>0.26000000000000156</v>
      </c>
      <c r="L29" s="15" t="str">
        <f>IF($B29="","",IF(AND(F29&gt;=ANALYSIS!$B$5,G29&lt;=ANALYSIS!$B$6),"Yes","No"))</f>
        <v>Yes</v>
      </c>
      <c r="M29" s="15" t="str">
        <f t="shared" si="3"/>
        <v>Yes</v>
      </c>
      <c r="N29" t="str" cm="1">
        <f t="array" ref="N29">IF($B29="","",_xlfn.TEXTJOIN(", ",TRUE,IF(ANALYSIS!$O$31:$O$130=$B29,ANALYSIS!$B$31:$B$130,"")))</f>
        <v>19-30, 20-34, 20-48</v>
      </c>
    </row>
    <row r="30" spans="1:14" x14ac:dyDescent="0.25">
      <c r="A30" s="18">
        <f t="shared" si="0"/>
        <v>16</v>
      </c>
      <c r="B30" t="str">
        <v>51.0 lb / 22.5 g</v>
      </c>
      <c r="C30" s="13">
        <f>IF($B30="","",_xlfn.MINIFS(ANALYSIS!$M$31:$M$130,ANALYSIS!$O$31:$O$130,$B30))</f>
        <v>51</v>
      </c>
      <c r="D30" s="13">
        <f>IF($B30="","",_xlfn.MINIFS(ANALYSIS!$N$31:$N$130,ANALYSIS!$O$31:$O$130,$B30))</f>
        <v>22.5</v>
      </c>
      <c r="E30" s="20">
        <f>IF($B30="","",COUNTIF(ANALYSIS!$O$31:$O$130,$B30))</f>
        <v>2</v>
      </c>
      <c r="F30" s="12">
        <f>IF($B30="","",_xlfn.MINIFS(ANALYSIS!$E$31:$E$130,ANALYSIS!$O$31:$O$130,$B30))</f>
        <v>53</v>
      </c>
      <c r="G30" s="12">
        <f>IF($B30="","",_xlfn.MAXIFS(ANALYSIS!$E$31:$E$130,ANALYSIS!$O$31:$O$130,$B30))</f>
        <v>53</v>
      </c>
      <c r="H30" s="12">
        <f t="shared" si="1"/>
        <v>0</v>
      </c>
      <c r="I30" s="12">
        <f>IF($B30="","",_xlfn.MINIFS(ANALYSIS!$G$31:$G$130,ANALYSIS!$O$31:$O$130,$B30))</f>
        <v>22.5</v>
      </c>
      <c r="J30" s="12">
        <f>IF($B30="","",_xlfn.MAXIFS(ANALYSIS!$G$31:$G$130,ANALYSIS!$O$31:$O$130,$B30))</f>
        <v>22.75</v>
      </c>
      <c r="K30" s="12">
        <f t="shared" si="2"/>
        <v>0.25</v>
      </c>
      <c r="L30" s="15" t="str">
        <f>IF($B30="","",IF(AND(F30&gt;=ANALYSIS!$B$5,G30&lt;=ANALYSIS!$B$6),"Yes","No"))</f>
        <v>No</v>
      </c>
      <c r="M30" s="15" t="str">
        <f t="shared" si="3"/>
        <v>No</v>
      </c>
      <c r="N30" t="str" cm="1">
        <f t="array" ref="N30">IF($B30="","",_xlfn.TEXTJOIN(", ",TRUE,IF(ANALYSIS!$O$31:$O$130=$B30,ANALYSIS!$B$31:$B$130,"")))</f>
        <v>19-41, 20-17</v>
      </c>
    </row>
    <row r="31" spans="1:14" x14ac:dyDescent="0.25">
      <c r="A31" s="18">
        <f t="shared" si="0"/>
        <v>17</v>
      </c>
      <c r="B31" t="str">
        <v>51.0 lb / 23.5 g</v>
      </c>
      <c r="C31" s="13">
        <f>IF($B31="","",_xlfn.MINIFS(ANALYSIS!$M$31:$M$130,ANALYSIS!$O$31:$O$130,$B31))</f>
        <v>51</v>
      </c>
      <c r="D31" s="13">
        <f>IF($B31="","",_xlfn.MINIFS(ANALYSIS!$N$31:$N$130,ANALYSIS!$O$31:$O$130,$B31))</f>
        <v>23.5</v>
      </c>
      <c r="E31" s="20">
        <f>IF($B31="","",COUNTIF(ANALYSIS!$O$31:$O$130,$B31))</f>
        <v>2</v>
      </c>
      <c r="F31" s="12">
        <f>IF($B31="","",_xlfn.MINIFS(ANALYSIS!$E$31:$E$130,ANALYSIS!$O$31:$O$130,$B31))</f>
        <v>52</v>
      </c>
      <c r="G31" s="12">
        <f>IF($B31="","",_xlfn.MAXIFS(ANALYSIS!$E$31:$E$130,ANALYSIS!$O$31:$O$130,$B31))</f>
        <v>53</v>
      </c>
      <c r="H31" s="12">
        <f t="shared" si="1"/>
        <v>1</v>
      </c>
      <c r="I31" s="12">
        <f>IF($B31="","",_xlfn.MINIFS(ANALYSIS!$G$31:$G$130,ANALYSIS!$O$31:$O$130,$B31))</f>
        <v>23.76</v>
      </c>
      <c r="J31" s="12">
        <f>IF($B31="","",_xlfn.MAXIFS(ANALYSIS!$G$31:$G$130,ANALYSIS!$O$31:$O$130,$B31))</f>
        <v>23.78</v>
      </c>
      <c r="K31" s="12">
        <f t="shared" si="2"/>
        <v>1.9999999999999574E-2</v>
      </c>
      <c r="L31" s="15" t="str">
        <f>IF($B31="","",IF(AND(F31&gt;=ANALYSIS!$B$5,G31&lt;=ANALYSIS!$B$6),"Yes","No"))</f>
        <v>No</v>
      </c>
      <c r="M31" s="15" t="str">
        <f t="shared" si="3"/>
        <v>No</v>
      </c>
      <c r="N31" t="str" cm="1">
        <f t="array" ref="N31">IF($B31="","",_xlfn.TEXTJOIN(", ",TRUE,IF(ANALYSIS!$O$31:$O$130=$B31,ANALYSIS!$B$31:$B$130,"")))</f>
        <v>19-38, 20-42</v>
      </c>
    </row>
    <row r="32" spans="1:14" x14ac:dyDescent="0.25">
      <c r="A32" s="18">
        <f t="shared" si="0"/>
        <v>18</v>
      </c>
      <c r="B32" t="str">
        <v>51.0 lb / 24.0 g</v>
      </c>
      <c r="C32" s="13">
        <f>IF($B32="","",_xlfn.MINIFS(ANALYSIS!$M$31:$M$130,ANALYSIS!$O$31:$O$130,$B32))</f>
        <v>51</v>
      </c>
      <c r="D32" s="13">
        <f>IF($B32="","",_xlfn.MINIFS(ANALYSIS!$N$31:$N$130,ANALYSIS!$O$31:$O$130,$B32))</f>
        <v>24</v>
      </c>
      <c r="E32" s="20">
        <f>IF($B32="","",COUNTIF(ANALYSIS!$O$31:$O$130,$B32))</f>
        <v>2</v>
      </c>
      <c r="F32" s="12">
        <f>IF($B32="","",_xlfn.MINIFS(ANALYSIS!$E$31:$E$130,ANALYSIS!$O$31:$O$130,$B32))</f>
        <v>52.5</v>
      </c>
      <c r="G32" s="12">
        <f>IF($B32="","",_xlfn.MAXIFS(ANALYSIS!$E$31:$E$130,ANALYSIS!$O$31:$O$130,$B32))</f>
        <v>53.5</v>
      </c>
      <c r="H32" s="12">
        <f t="shared" si="1"/>
        <v>1</v>
      </c>
      <c r="I32" s="12">
        <f>IF($B32="","",_xlfn.MINIFS(ANALYSIS!$G$31:$G$130,ANALYSIS!$O$31:$O$130,$B32))</f>
        <v>24</v>
      </c>
      <c r="J32" s="12">
        <f>IF($B32="","",_xlfn.MAXIFS(ANALYSIS!$G$31:$G$130,ANALYSIS!$O$31:$O$130,$B32))</f>
        <v>24.46</v>
      </c>
      <c r="K32" s="12">
        <f t="shared" si="2"/>
        <v>0.46000000000000085</v>
      </c>
      <c r="L32" s="15" t="str">
        <f>IF($B32="","",IF(AND(F32&gt;=ANALYSIS!$B$5,G32&lt;=ANALYSIS!$B$6),"Yes","No"))</f>
        <v>No</v>
      </c>
      <c r="M32" s="15" t="str">
        <f t="shared" si="3"/>
        <v>No</v>
      </c>
      <c r="N32" t="str" cm="1">
        <f t="array" ref="N32">IF($B32="","",_xlfn.TEXTJOIN(", ",TRUE,IF(ANALYSIS!$O$31:$O$130=$B32,ANALYSIS!$B$31:$B$130,"")))</f>
        <v>20-32, 20-49</v>
      </c>
    </row>
    <row r="33" spans="1:14" x14ac:dyDescent="0.25">
      <c r="A33" s="18">
        <f t="shared" si="0"/>
        <v>19</v>
      </c>
      <c r="B33" t="str">
        <v>54.0 lb / 21.0 g</v>
      </c>
      <c r="C33" s="13">
        <f>IF($B33="","",_xlfn.MINIFS(ANALYSIS!$M$31:$M$130,ANALYSIS!$O$31:$O$130,$B33))</f>
        <v>54</v>
      </c>
      <c r="D33" s="13">
        <f>IF($B33="","",_xlfn.MINIFS(ANALYSIS!$N$31:$N$130,ANALYSIS!$O$31:$O$130,$B33))</f>
        <v>21</v>
      </c>
      <c r="E33" s="20">
        <f>IF($B33="","",COUNTIF(ANALYSIS!$O$31:$O$130,$B33))</f>
        <v>2</v>
      </c>
      <c r="F33" s="12">
        <f>IF($B33="","",_xlfn.MINIFS(ANALYSIS!$E$31:$E$130,ANALYSIS!$O$31:$O$130,$B33))</f>
        <v>54.5</v>
      </c>
      <c r="G33" s="12">
        <f>IF($B33="","",_xlfn.MAXIFS(ANALYSIS!$E$31:$E$130,ANALYSIS!$O$31:$O$130,$B33))</f>
        <v>55</v>
      </c>
      <c r="H33" s="12">
        <f t="shared" si="1"/>
        <v>0.5</v>
      </c>
      <c r="I33" s="12">
        <f>IF($B33="","",_xlfn.MINIFS(ANALYSIS!$G$31:$G$130,ANALYSIS!$O$31:$O$130,$B33))</f>
        <v>21.18</v>
      </c>
      <c r="J33" s="12">
        <f>IF($B33="","",_xlfn.MAXIFS(ANALYSIS!$G$31:$G$130,ANALYSIS!$O$31:$O$130,$B33))</f>
        <v>21.46</v>
      </c>
      <c r="K33" s="12">
        <f t="shared" si="2"/>
        <v>0.28000000000000114</v>
      </c>
      <c r="L33" s="15" t="str">
        <f>IF($B33="","",IF(AND(F33&gt;=ANALYSIS!$B$5,G33&lt;=ANALYSIS!$B$6),"Yes","No"))</f>
        <v>Yes</v>
      </c>
      <c r="M33" s="15" t="str">
        <f t="shared" si="3"/>
        <v>No</v>
      </c>
      <c r="N33" t="str" cm="1">
        <f t="array" ref="N33">IF($B33="","",_xlfn.TEXTJOIN(", ",TRUE,IF(ANALYSIS!$O$31:$O$130=$B33,ANALYSIS!$B$31:$B$130,"")))</f>
        <v>19-39, 20-37</v>
      </c>
    </row>
    <row r="34" spans="1:14" x14ac:dyDescent="0.25">
      <c r="A34" s="18">
        <f t="shared" si="0"/>
        <v>20</v>
      </c>
      <c r="B34" t="str">
        <v>54.0 lb / 24.5 g</v>
      </c>
      <c r="C34" s="13">
        <f>IF($B34="","",_xlfn.MINIFS(ANALYSIS!$M$31:$M$130,ANALYSIS!$O$31:$O$130,$B34))</f>
        <v>54</v>
      </c>
      <c r="D34" s="13">
        <f>IF($B34="","",_xlfn.MINIFS(ANALYSIS!$N$31:$N$130,ANALYSIS!$O$31:$O$130,$B34))</f>
        <v>24.5</v>
      </c>
      <c r="E34" s="20">
        <f>IF($B34="","",COUNTIF(ANALYSIS!$O$31:$O$130,$B34))</f>
        <v>2</v>
      </c>
      <c r="F34" s="12">
        <f>IF($B34="","",_xlfn.MINIFS(ANALYSIS!$E$31:$E$130,ANALYSIS!$O$31:$O$130,$B34))</f>
        <v>55</v>
      </c>
      <c r="G34" s="12">
        <f>IF($B34="","",_xlfn.MAXIFS(ANALYSIS!$E$31:$E$130,ANALYSIS!$O$31:$O$130,$B34))</f>
        <v>56</v>
      </c>
      <c r="H34" s="12">
        <f t="shared" si="1"/>
        <v>1</v>
      </c>
      <c r="I34" s="12">
        <f>IF($B34="","",_xlfn.MINIFS(ANALYSIS!$G$31:$G$130,ANALYSIS!$O$31:$O$130,$B34))</f>
        <v>24.56</v>
      </c>
      <c r="J34" s="12">
        <f>IF($B34="","",_xlfn.MAXIFS(ANALYSIS!$G$31:$G$130,ANALYSIS!$O$31:$O$130,$B34))</f>
        <v>24.67</v>
      </c>
      <c r="K34" s="12">
        <f t="shared" si="2"/>
        <v>0.11000000000000298</v>
      </c>
      <c r="L34" s="15" t="str">
        <f>IF($B34="","",IF(AND(F34&gt;=ANALYSIS!$B$5,G34&lt;=ANALYSIS!$B$6),"Yes","No"))</f>
        <v>Yes</v>
      </c>
      <c r="M34" s="15" t="str">
        <f t="shared" si="3"/>
        <v>No</v>
      </c>
      <c r="N34" t="str" cm="1">
        <f t="array" ref="N34">IF($B34="","",_xlfn.TEXTJOIN(", ",TRUE,IF(ANALYSIS!$O$31:$O$130=$B34,ANALYSIS!$B$31:$B$130,"")))</f>
        <v>19-10, 20-11</v>
      </c>
    </row>
    <row r="35" spans="1:14" x14ac:dyDescent="0.25">
      <c r="A35" s="18">
        <f t="shared" si="0"/>
        <v>21</v>
      </c>
      <c r="B35" t="str">
        <v>57.0 lb / 24.5 g</v>
      </c>
      <c r="C35" s="13">
        <f>IF($B35="","",_xlfn.MINIFS(ANALYSIS!$M$31:$M$130,ANALYSIS!$O$31:$O$130,$B35))</f>
        <v>57</v>
      </c>
      <c r="D35" s="13">
        <f>IF($B35="","",_xlfn.MINIFS(ANALYSIS!$N$31:$N$130,ANALYSIS!$O$31:$O$130,$B35))</f>
        <v>24.5</v>
      </c>
      <c r="E35" s="20">
        <f>IF($B35="","",COUNTIF(ANALYSIS!$O$31:$O$130,$B35))</f>
        <v>2</v>
      </c>
      <c r="F35" s="12">
        <f>IF($B35="","",_xlfn.MINIFS(ANALYSIS!$E$31:$E$130,ANALYSIS!$O$31:$O$130,$B35))</f>
        <v>58</v>
      </c>
      <c r="G35" s="12">
        <f>IF($B35="","",_xlfn.MAXIFS(ANALYSIS!$E$31:$E$130,ANALYSIS!$O$31:$O$130,$B35))</f>
        <v>58</v>
      </c>
      <c r="H35" s="12">
        <f t="shared" si="1"/>
        <v>0</v>
      </c>
      <c r="I35" s="12">
        <f>IF($B35="","",_xlfn.MINIFS(ANALYSIS!$G$31:$G$130,ANALYSIS!$O$31:$O$130,$B35))</f>
        <v>24.7</v>
      </c>
      <c r="J35" s="12">
        <f>IF($B35="","",_xlfn.MAXIFS(ANALYSIS!$G$31:$G$130,ANALYSIS!$O$31:$O$130,$B35))</f>
        <v>24.94</v>
      </c>
      <c r="K35" s="12">
        <f t="shared" si="2"/>
        <v>0.24000000000000199</v>
      </c>
      <c r="L35" s="15" t="str">
        <f>IF($B35="","",IF(AND(F35&gt;=ANALYSIS!$B$5,G35&lt;=ANALYSIS!$B$6),"Yes","No"))</f>
        <v>Yes</v>
      </c>
      <c r="M35" s="15" t="str">
        <f t="shared" si="3"/>
        <v>No</v>
      </c>
      <c r="N35" t="str" cm="1">
        <f t="array" ref="N35">IF($B35="","",_xlfn.TEXTJOIN(", ",TRUE,IF(ANALYSIS!$O$31:$O$130=$B35,ANALYSIS!$B$31:$B$130,"")))</f>
        <v>19-02, 19-47</v>
      </c>
    </row>
    <row r="36" spans="1:14" x14ac:dyDescent="0.25">
      <c r="A36" s="18">
        <f t="shared" si="0"/>
        <v>22</v>
      </c>
      <c r="B36" t="str">
        <v>57.0 lb / 26.0 g</v>
      </c>
      <c r="C36" s="13">
        <f>IF($B36="","",_xlfn.MINIFS(ANALYSIS!$M$31:$M$130,ANALYSIS!$O$31:$O$130,$B36))</f>
        <v>57</v>
      </c>
      <c r="D36" s="13">
        <f>IF($B36="","",_xlfn.MINIFS(ANALYSIS!$N$31:$N$130,ANALYSIS!$O$31:$O$130,$B36))</f>
        <v>26</v>
      </c>
      <c r="E36" s="20">
        <f>IF($B36="","",COUNTIF(ANALYSIS!$O$31:$O$130,$B36))</f>
        <v>2</v>
      </c>
      <c r="F36" s="12">
        <f>IF($B36="","",_xlfn.MINIFS(ANALYSIS!$E$31:$E$130,ANALYSIS!$O$31:$O$130,$B36))</f>
        <v>58</v>
      </c>
      <c r="G36" s="12">
        <f>IF($B36="","",_xlfn.MAXIFS(ANALYSIS!$E$31:$E$130,ANALYSIS!$O$31:$O$130,$B36))</f>
        <v>59</v>
      </c>
      <c r="H36" s="12">
        <f t="shared" si="1"/>
        <v>1</v>
      </c>
      <c r="I36" s="12">
        <f>IF($B36="","",_xlfn.MINIFS(ANALYSIS!$G$31:$G$130,ANALYSIS!$O$31:$O$130,$B36))</f>
        <v>26.03</v>
      </c>
      <c r="J36" s="12">
        <f>IF($B36="","",_xlfn.MAXIFS(ANALYSIS!$G$31:$G$130,ANALYSIS!$O$31:$O$130,$B36))</f>
        <v>26.09</v>
      </c>
      <c r="K36" s="12">
        <f t="shared" si="2"/>
        <v>5.9999999999998721E-2</v>
      </c>
      <c r="L36" s="15" t="str">
        <f>IF($B36="","",IF(AND(F36&gt;=ANALYSIS!$B$5,G36&lt;=ANALYSIS!$B$6),"Yes","No"))</f>
        <v>Yes</v>
      </c>
      <c r="M36" s="15" t="str">
        <f t="shared" si="3"/>
        <v>No</v>
      </c>
      <c r="N36" t="str" cm="1">
        <f t="array" ref="N36">IF($B36="","",_xlfn.TEXTJOIN(", ",TRUE,IF(ANALYSIS!$O$31:$O$130=$B36,ANALYSIS!$B$31:$B$130,"")))</f>
        <v>19-27, 20-41</v>
      </c>
    </row>
    <row r="37" spans="1:14" x14ac:dyDescent="0.25">
      <c r="A37" s="18">
        <f t="shared" si="0"/>
        <v>23</v>
      </c>
      <c r="B37" t="str">
        <v>48.0 lb / 22.5 g</v>
      </c>
      <c r="C37" s="13">
        <f>IF($B37="","",_xlfn.MINIFS(ANALYSIS!$M$31:$M$130,ANALYSIS!$O$31:$O$130,$B37))</f>
        <v>48</v>
      </c>
      <c r="D37" s="13">
        <f>IF($B37="","",_xlfn.MINIFS(ANALYSIS!$N$31:$N$130,ANALYSIS!$O$31:$O$130,$B37))</f>
        <v>22.5</v>
      </c>
      <c r="E37" s="20">
        <f>IF($B37="","",COUNTIF(ANALYSIS!$O$31:$O$130,$B37))</f>
        <v>1</v>
      </c>
      <c r="F37" s="12">
        <f>IF($B37="","",_xlfn.MINIFS(ANALYSIS!$E$31:$E$130,ANALYSIS!$O$31:$O$130,$B37))</f>
        <v>50</v>
      </c>
      <c r="G37" s="12">
        <f>IF($B37="","",_xlfn.MAXIFS(ANALYSIS!$E$31:$E$130,ANALYSIS!$O$31:$O$130,$B37))</f>
        <v>50</v>
      </c>
      <c r="H37" s="12">
        <f t="shared" si="1"/>
        <v>0</v>
      </c>
      <c r="I37" s="12">
        <f>IF($B37="","",_xlfn.MINIFS(ANALYSIS!$G$31:$G$130,ANALYSIS!$O$31:$O$130,$B37))</f>
        <v>22.67</v>
      </c>
      <c r="J37" s="12">
        <f>IF($B37="","",_xlfn.MAXIFS(ANALYSIS!$G$31:$G$130,ANALYSIS!$O$31:$O$130,$B37))</f>
        <v>22.67</v>
      </c>
      <c r="K37" s="12">
        <f t="shared" si="2"/>
        <v>0</v>
      </c>
      <c r="L37" s="15" t="str">
        <f>IF($B37="","",IF(AND(F37&gt;=ANALYSIS!$B$5,G37&lt;=ANALYSIS!$B$6),"Yes","No"))</f>
        <v>No</v>
      </c>
      <c r="M37" s="15" t="str">
        <f t="shared" si="3"/>
        <v>No</v>
      </c>
      <c r="N37" t="str" cm="1">
        <f t="array" ref="N37">IF($B37="","",_xlfn.TEXTJOIN(", ",TRUE,IF(ANALYSIS!$O$31:$O$130=$B37,ANALYSIS!$B$31:$B$130,"")))</f>
        <v>19-09</v>
      </c>
    </row>
    <row r="38" spans="1:14" x14ac:dyDescent="0.25">
      <c r="A38" s="18">
        <f t="shared" si="0"/>
        <v>24</v>
      </c>
      <c r="B38" t="str">
        <v>51.0 lb / 21.0 g</v>
      </c>
      <c r="C38" s="13">
        <f>IF($B38="","",_xlfn.MINIFS(ANALYSIS!$M$31:$M$130,ANALYSIS!$O$31:$O$130,$B38))</f>
        <v>51</v>
      </c>
      <c r="D38" s="13">
        <f>IF($B38="","",_xlfn.MINIFS(ANALYSIS!$N$31:$N$130,ANALYSIS!$O$31:$O$130,$B38))</f>
        <v>21</v>
      </c>
      <c r="E38" s="20">
        <f>IF($B38="","",COUNTIF(ANALYSIS!$O$31:$O$130,$B38))</f>
        <v>1</v>
      </c>
      <c r="F38" s="12">
        <f>IF($B38="","",_xlfn.MINIFS(ANALYSIS!$E$31:$E$130,ANALYSIS!$O$31:$O$130,$B38))</f>
        <v>53</v>
      </c>
      <c r="G38" s="12">
        <f>IF($B38="","",_xlfn.MAXIFS(ANALYSIS!$E$31:$E$130,ANALYSIS!$O$31:$O$130,$B38))</f>
        <v>53</v>
      </c>
      <c r="H38" s="12">
        <f t="shared" si="1"/>
        <v>0</v>
      </c>
      <c r="I38" s="12">
        <f>IF($B38="","",_xlfn.MINIFS(ANALYSIS!$G$31:$G$130,ANALYSIS!$O$31:$O$130,$B38))</f>
        <v>21.49</v>
      </c>
      <c r="J38" s="12">
        <f>IF($B38="","",_xlfn.MAXIFS(ANALYSIS!$G$31:$G$130,ANALYSIS!$O$31:$O$130,$B38))</f>
        <v>21.49</v>
      </c>
      <c r="K38" s="12">
        <f t="shared" si="2"/>
        <v>0</v>
      </c>
      <c r="L38" s="15" t="str">
        <f>IF($B38="","",IF(AND(F38&gt;=ANALYSIS!$B$5,G38&lt;=ANALYSIS!$B$6),"Yes","No"))</f>
        <v>No</v>
      </c>
      <c r="M38" s="15" t="str">
        <f t="shared" si="3"/>
        <v>No</v>
      </c>
      <c r="N38" t="str" cm="1">
        <f t="array" ref="N38">IF($B38="","",_xlfn.TEXTJOIN(", ",TRUE,IF(ANALYSIS!$O$31:$O$130=$B38,ANALYSIS!$B$31:$B$130,"")))</f>
        <v>19-13</v>
      </c>
    </row>
    <row r="39" spans="1:14" x14ac:dyDescent="0.25">
      <c r="A39" s="18">
        <f t="shared" si="0"/>
        <v>25</v>
      </c>
      <c r="B39" t="str">
        <v>51.0 lb / 25.0 g</v>
      </c>
      <c r="C39" s="13">
        <f>IF($B39="","",_xlfn.MINIFS(ANALYSIS!$M$31:$M$130,ANALYSIS!$O$31:$O$130,$B39))</f>
        <v>51</v>
      </c>
      <c r="D39" s="13">
        <f>IF($B39="","",_xlfn.MINIFS(ANALYSIS!$N$31:$N$130,ANALYSIS!$O$31:$O$130,$B39))</f>
        <v>25</v>
      </c>
      <c r="E39" s="20">
        <f>IF($B39="","",COUNTIF(ANALYSIS!$O$31:$O$130,$B39))</f>
        <v>1</v>
      </c>
      <c r="F39" s="12">
        <f>IF($B39="","",_xlfn.MINIFS(ANALYSIS!$E$31:$E$130,ANALYSIS!$O$31:$O$130,$B39))</f>
        <v>53</v>
      </c>
      <c r="G39" s="12">
        <f>IF($B39="","",_xlfn.MAXIFS(ANALYSIS!$E$31:$E$130,ANALYSIS!$O$31:$O$130,$B39))</f>
        <v>53</v>
      </c>
      <c r="H39" s="12">
        <f t="shared" si="1"/>
        <v>0</v>
      </c>
      <c r="I39" s="12">
        <f>IF($B39="","",_xlfn.MINIFS(ANALYSIS!$G$31:$G$130,ANALYSIS!$O$31:$O$130,$B39))</f>
        <v>25.3</v>
      </c>
      <c r="J39" s="12">
        <f>IF($B39="","",_xlfn.MAXIFS(ANALYSIS!$G$31:$G$130,ANALYSIS!$O$31:$O$130,$B39))</f>
        <v>25.3</v>
      </c>
      <c r="K39" s="12">
        <f t="shared" si="2"/>
        <v>0</v>
      </c>
      <c r="L39" s="15" t="str">
        <f>IF($B39="","",IF(AND(F39&gt;=ANALYSIS!$B$5,G39&lt;=ANALYSIS!$B$6),"Yes","No"))</f>
        <v>No</v>
      </c>
      <c r="M39" s="15" t="str">
        <f t="shared" si="3"/>
        <v>No</v>
      </c>
      <c r="N39" t="str" cm="1">
        <f t="array" ref="N39">IF($B39="","",_xlfn.TEXTJOIN(", ",TRUE,IF(ANALYSIS!$O$31:$O$130=$B39,ANALYSIS!$B$31:$B$130,"")))</f>
        <v>20-43</v>
      </c>
    </row>
    <row r="40" spans="1:14" x14ac:dyDescent="0.25">
      <c r="A40" s="18">
        <f t="shared" si="0"/>
        <v>26</v>
      </c>
      <c r="B40" t="str">
        <v>51.0 lb / 25.5 g</v>
      </c>
      <c r="C40" s="13">
        <f>IF($B40="","",_xlfn.MINIFS(ANALYSIS!$M$31:$M$130,ANALYSIS!$O$31:$O$130,$B40))</f>
        <v>51</v>
      </c>
      <c r="D40" s="13">
        <f>IF($B40="","",_xlfn.MINIFS(ANALYSIS!$N$31:$N$130,ANALYSIS!$O$31:$O$130,$B40))</f>
        <v>25.5</v>
      </c>
      <c r="E40" s="20">
        <f>IF($B40="","",COUNTIF(ANALYSIS!$O$31:$O$130,$B40))</f>
        <v>1</v>
      </c>
      <c r="F40" s="12">
        <f>IF($B40="","",_xlfn.MINIFS(ANALYSIS!$E$31:$E$130,ANALYSIS!$O$31:$O$130,$B40))</f>
        <v>51</v>
      </c>
      <c r="G40" s="12">
        <f>IF($B40="","",_xlfn.MAXIFS(ANALYSIS!$E$31:$E$130,ANALYSIS!$O$31:$O$130,$B40))</f>
        <v>51</v>
      </c>
      <c r="H40" s="12">
        <f t="shared" si="1"/>
        <v>0</v>
      </c>
      <c r="I40" s="12">
        <f>IF($B40="","",_xlfn.MINIFS(ANALYSIS!$G$31:$G$130,ANALYSIS!$O$31:$O$130,$B40))</f>
        <v>25.82</v>
      </c>
      <c r="J40" s="12">
        <f>IF($B40="","",_xlfn.MAXIFS(ANALYSIS!$G$31:$G$130,ANALYSIS!$O$31:$O$130,$B40))</f>
        <v>25.82</v>
      </c>
      <c r="K40" s="12">
        <f t="shared" si="2"/>
        <v>0</v>
      </c>
      <c r="L40" s="15" t="str">
        <f>IF($B40="","",IF(AND(F40&gt;=ANALYSIS!$B$5,G40&lt;=ANALYSIS!$B$6),"Yes","No"))</f>
        <v>No</v>
      </c>
      <c r="M40" s="15" t="str">
        <f t="shared" si="3"/>
        <v>No</v>
      </c>
      <c r="N40" t="str" cm="1">
        <f t="array" ref="N40">IF($B40="","",_xlfn.TEXTJOIN(", ",TRUE,IF(ANALYSIS!$O$31:$O$130=$B40,ANALYSIS!$B$31:$B$130,"")))</f>
        <v>19-26</v>
      </c>
    </row>
    <row r="41" spans="1:14" x14ac:dyDescent="0.25">
      <c r="A41" s="18">
        <f t="shared" si="0"/>
        <v>27</v>
      </c>
      <c r="B41" t="str">
        <v>57.0 lb / 21.5 g</v>
      </c>
      <c r="C41" s="13">
        <f>IF($B41="","",_xlfn.MINIFS(ANALYSIS!$M$31:$M$130,ANALYSIS!$O$31:$O$130,$B41))</f>
        <v>57</v>
      </c>
      <c r="D41" s="13">
        <f>IF($B41="","",_xlfn.MINIFS(ANALYSIS!$N$31:$N$130,ANALYSIS!$O$31:$O$130,$B41))</f>
        <v>21.5</v>
      </c>
      <c r="E41" s="20">
        <f>IF($B41="","",COUNTIF(ANALYSIS!$O$31:$O$130,$B41))</f>
        <v>1</v>
      </c>
      <c r="F41" s="12">
        <f>IF($B41="","",_xlfn.MINIFS(ANALYSIS!$E$31:$E$130,ANALYSIS!$O$31:$O$130,$B41))</f>
        <v>58</v>
      </c>
      <c r="G41" s="12">
        <f>IF($B41="","",_xlfn.MAXIFS(ANALYSIS!$E$31:$E$130,ANALYSIS!$O$31:$O$130,$B41))</f>
        <v>58</v>
      </c>
      <c r="H41" s="12">
        <f t="shared" si="1"/>
        <v>0</v>
      </c>
      <c r="I41" s="12">
        <f>IF($B41="","",_xlfn.MINIFS(ANALYSIS!$G$31:$G$130,ANALYSIS!$O$31:$O$130,$B41))</f>
        <v>21.8</v>
      </c>
      <c r="J41" s="12">
        <f>IF($B41="","",_xlfn.MAXIFS(ANALYSIS!$G$31:$G$130,ANALYSIS!$O$31:$O$130,$B41))</f>
        <v>21.8</v>
      </c>
      <c r="K41" s="12">
        <f t="shared" si="2"/>
        <v>0</v>
      </c>
      <c r="L41" s="15" t="str">
        <f>IF($B41="","",IF(AND(F41&gt;=ANALYSIS!$B$5,G41&lt;=ANALYSIS!$B$6),"Yes","No"))</f>
        <v>Yes</v>
      </c>
      <c r="M41" s="15" t="str">
        <f t="shared" si="3"/>
        <v>No</v>
      </c>
      <c r="N41" t="str" cm="1">
        <f t="array" ref="N41">IF($B41="","",_xlfn.TEXTJOIN(", ",TRUE,IF(ANALYSIS!$O$31:$O$130=$B41,ANALYSIS!$B$31:$B$130,"")))</f>
        <v>20-19</v>
      </c>
    </row>
    <row r="42" spans="1:14" x14ac:dyDescent="0.25">
      <c r="A42" s="18">
        <f t="shared" si="0"/>
        <v>28</v>
      </c>
      <c r="B42" t="str">
        <v>57.0 lb / 22.5 g</v>
      </c>
      <c r="C42" s="13">
        <f>IF($B42="","",_xlfn.MINIFS(ANALYSIS!$M$31:$M$130,ANALYSIS!$O$31:$O$130,$B42))</f>
        <v>57</v>
      </c>
      <c r="D42" s="13">
        <f>IF($B42="","",_xlfn.MINIFS(ANALYSIS!$N$31:$N$130,ANALYSIS!$O$31:$O$130,$B42))</f>
        <v>22.5</v>
      </c>
      <c r="E42" s="20">
        <f>IF($B42="","",COUNTIF(ANALYSIS!$O$31:$O$130,$B42))</f>
        <v>1</v>
      </c>
      <c r="F42" s="12">
        <f>IF($B42="","",_xlfn.MINIFS(ANALYSIS!$E$31:$E$130,ANALYSIS!$O$31:$O$130,$B42))</f>
        <v>57</v>
      </c>
      <c r="G42" s="12">
        <f>IF($B42="","",_xlfn.MAXIFS(ANALYSIS!$E$31:$E$130,ANALYSIS!$O$31:$O$130,$B42))</f>
        <v>57</v>
      </c>
      <c r="H42" s="12">
        <f t="shared" si="1"/>
        <v>0</v>
      </c>
      <c r="I42" s="12">
        <f>IF($B42="","",_xlfn.MINIFS(ANALYSIS!$G$31:$G$130,ANALYSIS!$O$31:$O$130,$B42))</f>
        <v>22.86</v>
      </c>
      <c r="J42" s="12">
        <f>IF($B42="","",_xlfn.MAXIFS(ANALYSIS!$G$31:$G$130,ANALYSIS!$O$31:$O$130,$B42))</f>
        <v>22.86</v>
      </c>
      <c r="K42" s="12">
        <f t="shared" si="2"/>
        <v>0</v>
      </c>
      <c r="L42" s="15" t="str">
        <f>IF($B42="","",IF(AND(F42&gt;=ANALYSIS!$B$5,G42&lt;=ANALYSIS!$B$6),"Yes","No"))</f>
        <v>Yes</v>
      </c>
      <c r="M42" s="15" t="str">
        <f t="shared" si="3"/>
        <v>No</v>
      </c>
      <c r="N42" t="str" cm="1">
        <f t="array" ref="N42">IF($B42="","",_xlfn.TEXTJOIN(", ",TRUE,IF(ANALYSIS!$O$31:$O$130=$B42,ANALYSIS!$B$31:$B$130,"")))</f>
        <v>19-32</v>
      </c>
    </row>
    <row r="43" spans="1:14" x14ac:dyDescent="0.25">
      <c r="A43" s="18">
        <f t="shared" si="0"/>
        <v>29</v>
      </c>
      <c r="B43" t="str">
        <v>57.0 lb / 26.5 g</v>
      </c>
      <c r="C43" s="13">
        <f>IF($B43="","",_xlfn.MINIFS(ANALYSIS!$M$31:$M$130,ANALYSIS!$O$31:$O$130,$B43))</f>
        <v>57</v>
      </c>
      <c r="D43" s="13">
        <f>IF($B43="","",_xlfn.MINIFS(ANALYSIS!$N$31:$N$130,ANALYSIS!$O$31:$O$130,$B43))</f>
        <v>26.5</v>
      </c>
      <c r="E43" s="20">
        <f>IF($B43="","",COUNTIF(ANALYSIS!$O$31:$O$130,$B43))</f>
        <v>1</v>
      </c>
      <c r="F43" s="12">
        <f>IF($B43="","",_xlfn.MINIFS(ANALYSIS!$E$31:$E$130,ANALYSIS!$O$31:$O$130,$B43))</f>
        <v>58</v>
      </c>
      <c r="G43" s="12">
        <f>IF($B43="","",_xlfn.MAXIFS(ANALYSIS!$E$31:$E$130,ANALYSIS!$O$31:$O$130,$B43))</f>
        <v>58</v>
      </c>
      <c r="H43" s="12">
        <f t="shared" si="1"/>
        <v>0</v>
      </c>
      <c r="I43" s="12">
        <f>IF($B43="","",_xlfn.MINIFS(ANALYSIS!$G$31:$G$130,ANALYSIS!$O$31:$O$130,$B43))</f>
        <v>26.76</v>
      </c>
      <c r="J43" s="12">
        <f>IF($B43="","",_xlfn.MAXIFS(ANALYSIS!$G$31:$G$130,ANALYSIS!$O$31:$O$130,$B43))</f>
        <v>26.76</v>
      </c>
      <c r="K43" s="12">
        <f t="shared" si="2"/>
        <v>0</v>
      </c>
      <c r="L43" s="15" t="str">
        <f>IF($B43="","",IF(AND(F43&gt;=ANALYSIS!$B$5,G43&lt;=ANALYSIS!$B$6),"Yes","No"))</f>
        <v>Yes</v>
      </c>
      <c r="M43" s="15" t="str">
        <f t="shared" si="3"/>
        <v>No</v>
      </c>
      <c r="N43" t="str" cm="1">
        <f t="array" ref="N43">IF($B43="","",_xlfn.TEXTJOIN(", ",TRUE,IF(ANALYSIS!$O$31:$O$130=$B43,ANALYSIS!$B$31:$B$130,"")))</f>
        <v>19-29</v>
      </c>
    </row>
    <row r="44" spans="1:14" x14ac:dyDescent="0.25">
      <c r="A44" s="18" t="str">
        <f t="shared" si="0"/>
        <v/>
      </c>
      <c r="C44" s="13" t="str">
        <f>IF($B44="","",_xlfn.MINIFS(ANALYSIS!$M$31:$M$130,ANALYSIS!$O$31:$O$130,$B44))</f>
        <v/>
      </c>
      <c r="D44" s="13" t="str">
        <f>IF($B44="","",_xlfn.MINIFS(ANALYSIS!$N$31:$N$130,ANALYSIS!$O$31:$O$130,$B44))</f>
        <v/>
      </c>
      <c r="E44" s="20" t="str">
        <f>IF($B44="","",COUNTIF(ANALYSIS!$O$31:$O$130,$B44))</f>
        <v/>
      </c>
      <c r="F44" s="12" t="str">
        <f>IF($B44="","",_xlfn.MINIFS(ANALYSIS!$E$31:$E$130,ANALYSIS!$O$31:$O$130,$B44))</f>
        <v/>
      </c>
      <c r="G44" s="12" t="str">
        <f>IF($B44="","",_xlfn.MAXIFS(ANALYSIS!$E$31:$E$130,ANALYSIS!$O$31:$O$130,$B44))</f>
        <v/>
      </c>
      <c r="H44" s="12" t="str">
        <f t="shared" si="1"/>
        <v/>
      </c>
      <c r="I44" s="12" t="str">
        <f>IF($B44="","",_xlfn.MINIFS(ANALYSIS!$G$31:$G$130,ANALYSIS!$O$31:$O$130,$B44))</f>
        <v/>
      </c>
      <c r="J44" s="12" t="str">
        <f>IF($B44="","",_xlfn.MAXIFS(ANALYSIS!$G$31:$G$130,ANALYSIS!$O$31:$O$130,$B44))</f>
        <v/>
      </c>
      <c r="K44" s="12" t="str">
        <f t="shared" si="2"/>
        <v/>
      </c>
      <c r="L44" s="15" t="str">
        <f>IF($B44="","",IF(AND(F44&gt;=ANALYSIS!$B$5,G44&lt;=ANALYSIS!$B$6),"Yes","No"))</f>
        <v/>
      </c>
      <c r="M44" s="15" t="str">
        <f t="shared" si="3"/>
        <v/>
      </c>
      <c r="N44" t="str" cm="1">
        <f t="array" ref="N44">IF($B44="","",_xlfn.TEXTJOIN(", ",TRUE,IF(ANALYSIS!$O$31:$O$130=$B44,ANALYSIS!$B$31:$B$130,"")))</f>
        <v/>
      </c>
    </row>
    <row r="45" spans="1:14" x14ac:dyDescent="0.25">
      <c r="A45" s="18" t="str">
        <f t="shared" si="0"/>
        <v/>
      </c>
      <c r="C45" s="13" t="str">
        <f>IF($B45="","",_xlfn.MINIFS(ANALYSIS!$M$31:$M$130,ANALYSIS!$O$31:$O$130,$B45))</f>
        <v/>
      </c>
      <c r="D45" s="13" t="str">
        <f>IF($B45="","",_xlfn.MINIFS(ANALYSIS!$N$31:$N$130,ANALYSIS!$O$31:$O$130,$B45))</f>
        <v/>
      </c>
      <c r="E45" s="20" t="str">
        <f>IF($B45="","",COUNTIF(ANALYSIS!$O$31:$O$130,$B45))</f>
        <v/>
      </c>
      <c r="F45" s="12" t="str">
        <f>IF($B45="","",_xlfn.MINIFS(ANALYSIS!$E$31:$E$130,ANALYSIS!$O$31:$O$130,$B45))</f>
        <v/>
      </c>
      <c r="G45" s="12" t="str">
        <f>IF($B45="","",_xlfn.MAXIFS(ANALYSIS!$E$31:$E$130,ANALYSIS!$O$31:$O$130,$B45))</f>
        <v/>
      </c>
      <c r="H45" s="12" t="str">
        <f t="shared" si="1"/>
        <v/>
      </c>
      <c r="I45" s="12" t="str">
        <f>IF($B45="","",_xlfn.MINIFS(ANALYSIS!$G$31:$G$130,ANALYSIS!$O$31:$O$130,$B45))</f>
        <v/>
      </c>
      <c r="J45" s="12" t="str">
        <f>IF($B45="","",_xlfn.MAXIFS(ANALYSIS!$G$31:$G$130,ANALYSIS!$O$31:$O$130,$B45))</f>
        <v/>
      </c>
      <c r="K45" s="12" t="str">
        <f t="shared" si="2"/>
        <v/>
      </c>
      <c r="L45" s="15" t="str">
        <f>IF($B45="","",IF(AND(F45&gt;=ANALYSIS!$B$5,G45&lt;=ANALYSIS!$B$6),"Yes","No"))</f>
        <v/>
      </c>
      <c r="M45" s="15" t="str">
        <f t="shared" si="3"/>
        <v/>
      </c>
      <c r="N45" t="str" cm="1">
        <f t="array" ref="N45">IF($B45="","",_xlfn.TEXTJOIN(", ",TRUE,IF(ANALYSIS!$O$31:$O$130=$B45,ANALYSIS!$B$31:$B$130,"")))</f>
        <v/>
      </c>
    </row>
    <row r="46" spans="1:14" x14ac:dyDescent="0.25">
      <c r="A46" s="18" t="str">
        <f t="shared" si="0"/>
        <v/>
      </c>
      <c r="C46" s="13" t="str">
        <f>IF($B46="","",_xlfn.MINIFS(ANALYSIS!$M$31:$M$130,ANALYSIS!$O$31:$O$130,$B46))</f>
        <v/>
      </c>
      <c r="D46" s="13" t="str">
        <f>IF($B46="","",_xlfn.MINIFS(ANALYSIS!$N$31:$N$130,ANALYSIS!$O$31:$O$130,$B46))</f>
        <v/>
      </c>
      <c r="E46" s="20" t="str">
        <f>IF($B46="","",COUNTIF(ANALYSIS!$O$31:$O$130,$B46))</f>
        <v/>
      </c>
      <c r="F46" s="12" t="str">
        <f>IF($B46="","",_xlfn.MINIFS(ANALYSIS!$E$31:$E$130,ANALYSIS!$O$31:$O$130,$B46))</f>
        <v/>
      </c>
      <c r="G46" s="12" t="str">
        <f>IF($B46="","",_xlfn.MAXIFS(ANALYSIS!$E$31:$E$130,ANALYSIS!$O$31:$O$130,$B46))</f>
        <v/>
      </c>
      <c r="H46" s="12" t="str">
        <f t="shared" si="1"/>
        <v/>
      </c>
      <c r="I46" s="12" t="str">
        <f>IF($B46="","",_xlfn.MINIFS(ANALYSIS!$G$31:$G$130,ANALYSIS!$O$31:$O$130,$B46))</f>
        <v/>
      </c>
      <c r="J46" s="12" t="str">
        <f>IF($B46="","",_xlfn.MAXIFS(ANALYSIS!$G$31:$G$130,ANALYSIS!$O$31:$O$130,$B46))</f>
        <v/>
      </c>
      <c r="K46" s="12" t="str">
        <f t="shared" si="2"/>
        <v/>
      </c>
      <c r="L46" s="15" t="str">
        <f>IF($B46="","",IF(AND(F46&gt;=ANALYSIS!$B$5,G46&lt;=ANALYSIS!$B$6),"Yes","No"))</f>
        <v/>
      </c>
      <c r="M46" s="15" t="str">
        <f t="shared" si="3"/>
        <v/>
      </c>
      <c r="N46" t="str" cm="1">
        <f t="array" ref="N46">IF($B46="","",_xlfn.TEXTJOIN(", ",TRUE,IF(ANALYSIS!$O$31:$O$130=$B46,ANALYSIS!$B$31:$B$130,"")))</f>
        <v/>
      </c>
    </row>
    <row r="47" spans="1:14" x14ac:dyDescent="0.25">
      <c r="A47" s="18" t="str">
        <f t="shared" si="0"/>
        <v/>
      </c>
      <c r="C47" s="13" t="str">
        <f>IF($B47="","",_xlfn.MINIFS(ANALYSIS!$M$31:$M$130,ANALYSIS!$O$31:$O$130,$B47))</f>
        <v/>
      </c>
      <c r="D47" s="13" t="str">
        <f>IF($B47="","",_xlfn.MINIFS(ANALYSIS!$N$31:$N$130,ANALYSIS!$O$31:$O$130,$B47))</f>
        <v/>
      </c>
      <c r="E47" s="20" t="str">
        <f>IF($B47="","",COUNTIF(ANALYSIS!$O$31:$O$130,$B47))</f>
        <v/>
      </c>
      <c r="F47" s="12" t="str">
        <f>IF($B47="","",_xlfn.MINIFS(ANALYSIS!$E$31:$E$130,ANALYSIS!$O$31:$O$130,$B47))</f>
        <v/>
      </c>
      <c r="G47" s="12" t="str">
        <f>IF($B47="","",_xlfn.MAXIFS(ANALYSIS!$E$31:$E$130,ANALYSIS!$O$31:$O$130,$B47))</f>
        <v/>
      </c>
      <c r="H47" s="12" t="str">
        <f t="shared" si="1"/>
        <v/>
      </c>
      <c r="I47" s="12" t="str">
        <f>IF($B47="","",_xlfn.MINIFS(ANALYSIS!$G$31:$G$130,ANALYSIS!$O$31:$O$130,$B47))</f>
        <v/>
      </c>
      <c r="J47" s="12" t="str">
        <f>IF($B47="","",_xlfn.MAXIFS(ANALYSIS!$G$31:$G$130,ANALYSIS!$O$31:$O$130,$B47))</f>
        <v/>
      </c>
      <c r="K47" s="12" t="str">
        <f t="shared" si="2"/>
        <v/>
      </c>
      <c r="L47" s="15" t="str">
        <f>IF($B47="","",IF(AND(F47&gt;=ANALYSIS!$B$5,G47&lt;=ANALYSIS!$B$6),"Yes","No"))</f>
        <v/>
      </c>
      <c r="M47" s="15" t="str">
        <f t="shared" si="3"/>
        <v/>
      </c>
      <c r="N47" t="str" cm="1">
        <f t="array" ref="N47">IF($B47="","",_xlfn.TEXTJOIN(", ",TRUE,IF(ANALYSIS!$O$31:$O$130=$B47,ANALYSIS!$B$31:$B$130,"")))</f>
        <v/>
      </c>
    </row>
    <row r="48" spans="1:14" x14ac:dyDescent="0.25">
      <c r="A48" s="18" t="str">
        <f t="shared" si="0"/>
        <v/>
      </c>
      <c r="C48" s="13" t="str">
        <f>IF($B48="","",_xlfn.MINIFS(ANALYSIS!$M$31:$M$130,ANALYSIS!$O$31:$O$130,$B48))</f>
        <v/>
      </c>
      <c r="D48" s="13" t="str">
        <f>IF($B48="","",_xlfn.MINIFS(ANALYSIS!$N$31:$N$130,ANALYSIS!$O$31:$O$130,$B48))</f>
        <v/>
      </c>
      <c r="E48" s="20" t="str">
        <f>IF($B48="","",COUNTIF(ANALYSIS!$O$31:$O$130,$B48))</f>
        <v/>
      </c>
      <c r="F48" s="12" t="str">
        <f>IF($B48="","",_xlfn.MINIFS(ANALYSIS!$E$31:$E$130,ANALYSIS!$O$31:$O$130,$B48))</f>
        <v/>
      </c>
      <c r="G48" s="12" t="str">
        <f>IF($B48="","",_xlfn.MAXIFS(ANALYSIS!$E$31:$E$130,ANALYSIS!$O$31:$O$130,$B48))</f>
        <v/>
      </c>
      <c r="H48" s="12" t="str">
        <f t="shared" si="1"/>
        <v/>
      </c>
      <c r="I48" s="12" t="str">
        <f>IF($B48="","",_xlfn.MINIFS(ANALYSIS!$G$31:$G$130,ANALYSIS!$O$31:$O$130,$B48))</f>
        <v/>
      </c>
      <c r="J48" s="12" t="str">
        <f>IF($B48="","",_xlfn.MAXIFS(ANALYSIS!$G$31:$G$130,ANALYSIS!$O$31:$O$130,$B48))</f>
        <v/>
      </c>
      <c r="K48" s="12" t="str">
        <f t="shared" si="2"/>
        <v/>
      </c>
      <c r="L48" s="15" t="str">
        <f>IF($B48="","",IF(AND(F48&gt;=ANALYSIS!$B$5,G48&lt;=ANALYSIS!$B$6),"Yes","No"))</f>
        <v/>
      </c>
      <c r="M48" s="15" t="str">
        <f t="shared" si="3"/>
        <v/>
      </c>
      <c r="N48" t="str" cm="1">
        <f t="array" ref="N48">IF($B48="","",_xlfn.TEXTJOIN(", ",TRUE,IF(ANALYSIS!$O$31:$O$130=$B48,ANALYSIS!$B$31:$B$130,"")))</f>
        <v/>
      </c>
    </row>
    <row r="49" spans="1:14" x14ac:dyDescent="0.25">
      <c r="A49" s="18" t="str">
        <f t="shared" si="0"/>
        <v/>
      </c>
      <c r="C49" s="13" t="str">
        <f>IF($B49="","",_xlfn.MINIFS(ANALYSIS!$M$31:$M$130,ANALYSIS!$O$31:$O$130,$B49))</f>
        <v/>
      </c>
      <c r="D49" s="13" t="str">
        <f>IF($B49="","",_xlfn.MINIFS(ANALYSIS!$N$31:$N$130,ANALYSIS!$O$31:$O$130,$B49))</f>
        <v/>
      </c>
      <c r="E49" s="20" t="str">
        <f>IF($B49="","",COUNTIF(ANALYSIS!$O$31:$O$130,$B49))</f>
        <v/>
      </c>
      <c r="F49" s="12" t="str">
        <f>IF($B49="","",_xlfn.MINIFS(ANALYSIS!$E$31:$E$130,ANALYSIS!$O$31:$O$130,$B49))</f>
        <v/>
      </c>
      <c r="G49" s="12" t="str">
        <f>IF($B49="","",_xlfn.MAXIFS(ANALYSIS!$E$31:$E$130,ANALYSIS!$O$31:$O$130,$B49))</f>
        <v/>
      </c>
      <c r="H49" s="12" t="str">
        <f t="shared" si="1"/>
        <v/>
      </c>
      <c r="I49" s="12" t="str">
        <f>IF($B49="","",_xlfn.MINIFS(ANALYSIS!$G$31:$G$130,ANALYSIS!$O$31:$O$130,$B49))</f>
        <v/>
      </c>
      <c r="J49" s="12" t="str">
        <f>IF($B49="","",_xlfn.MAXIFS(ANALYSIS!$G$31:$G$130,ANALYSIS!$O$31:$O$130,$B49))</f>
        <v/>
      </c>
      <c r="K49" s="12" t="str">
        <f t="shared" si="2"/>
        <v/>
      </c>
      <c r="L49" s="15" t="str">
        <f>IF($B49="","",IF(AND(F49&gt;=ANALYSIS!$B$5,G49&lt;=ANALYSIS!$B$6),"Yes","No"))</f>
        <v/>
      </c>
      <c r="M49" s="15" t="str">
        <f t="shared" si="3"/>
        <v/>
      </c>
      <c r="N49" t="str" cm="1">
        <f t="array" ref="N49">IF($B49="","",_xlfn.TEXTJOIN(", ",TRUE,IF(ANALYSIS!$O$31:$O$130=$B49,ANALYSIS!$B$31:$B$130,"")))</f>
        <v/>
      </c>
    </row>
    <row r="50" spans="1:14" x14ac:dyDescent="0.25">
      <c r="A50" s="18" t="str">
        <f t="shared" si="0"/>
        <v/>
      </c>
      <c r="C50" s="13" t="str">
        <f>IF($B50="","",_xlfn.MINIFS(ANALYSIS!$M$31:$M$130,ANALYSIS!$O$31:$O$130,$B50))</f>
        <v/>
      </c>
      <c r="D50" s="13" t="str">
        <f>IF($B50="","",_xlfn.MINIFS(ANALYSIS!$N$31:$N$130,ANALYSIS!$O$31:$O$130,$B50))</f>
        <v/>
      </c>
      <c r="E50" s="20" t="str">
        <f>IF($B50="","",COUNTIF(ANALYSIS!$O$31:$O$130,$B50))</f>
        <v/>
      </c>
      <c r="F50" s="12" t="str">
        <f>IF($B50="","",_xlfn.MINIFS(ANALYSIS!$E$31:$E$130,ANALYSIS!$O$31:$O$130,$B50))</f>
        <v/>
      </c>
      <c r="G50" s="12" t="str">
        <f>IF($B50="","",_xlfn.MAXIFS(ANALYSIS!$E$31:$E$130,ANALYSIS!$O$31:$O$130,$B50))</f>
        <v/>
      </c>
      <c r="H50" s="12" t="str">
        <f t="shared" si="1"/>
        <v/>
      </c>
      <c r="I50" s="12" t="str">
        <f>IF($B50="","",_xlfn.MINIFS(ANALYSIS!$G$31:$G$130,ANALYSIS!$O$31:$O$130,$B50))</f>
        <v/>
      </c>
      <c r="J50" s="12" t="str">
        <f>IF($B50="","",_xlfn.MAXIFS(ANALYSIS!$G$31:$G$130,ANALYSIS!$O$31:$O$130,$B50))</f>
        <v/>
      </c>
      <c r="K50" s="12" t="str">
        <f t="shared" si="2"/>
        <v/>
      </c>
      <c r="L50" s="15" t="str">
        <f>IF($B50="","",IF(AND(F50&gt;=ANALYSIS!$B$5,G50&lt;=ANALYSIS!$B$6),"Yes","No"))</f>
        <v/>
      </c>
      <c r="M50" s="15" t="str">
        <f t="shared" si="3"/>
        <v/>
      </c>
      <c r="N50" t="str" cm="1">
        <f t="array" ref="N50">IF($B50="","",_xlfn.TEXTJOIN(", ",TRUE,IF(ANALYSIS!$O$31:$O$130=$B50,ANALYSIS!$B$31:$B$130,"")))</f>
        <v/>
      </c>
    </row>
    <row r="51" spans="1:14" x14ac:dyDescent="0.25">
      <c r="A51" s="18" t="str">
        <f t="shared" si="0"/>
        <v/>
      </c>
      <c r="C51" s="13" t="str">
        <f>IF($B51="","",_xlfn.MINIFS(ANALYSIS!$M$31:$M$130,ANALYSIS!$O$31:$O$130,$B51))</f>
        <v/>
      </c>
      <c r="D51" s="13" t="str">
        <f>IF($B51="","",_xlfn.MINIFS(ANALYSIS!$N$31:$N$130,ANALYSIS!$O$31:$O$130,$B51))</f>
        <v/>
      </c>
      <c r="E51" s="20" t="str">
        <f>IF($B51="","",COUNTIF(ANALYSIS!$O$31:$O$130,$B51))</f>
        <v/>
      </c>
      <c r="F51" s="12" t="str">
        <f>IF($B51="","",_xlfn.MINIFS(ANALYSIS!$E$31:$E$130,ANALYSIS!$O$31:$O$130,$B51))</f>
        <v/>
      </c>
      <c r="G51" s="12" t="str">
        <f>IF($B51="","",_xlfn.MAXIFS(ANALYSIS!$E$31:$E$130,ANALYSIS!$O$31:$O$130,$B51))</f>
        <v/>
      </c>
      <c r="H51" s="12" t="str">
        <f t="shared" si="1"/>
        <v/>
      </c>
      <c r="I51" s="12" t="str">
        <f>IF($B51="","",_xlfn.MINIFS(ANALYSIS!$G$31:$G$130,ANALYSIS!$O$31:$O$130,$B51))</f>
        <v/>
      </c>
      <c r="J51" s="12" t="str">
        <f>IF($B51="","",_xlfn.MAXIFS(ANALYSIS!$G$31:$G$130,ANALYSIS!$O$31:$O$130,$B51))</f>
        <v/>
      </c>
      <c r="K51" s="12" t="str">
        <f t="shared" si="2"/>
        <v/>
      </c>
      <c r="L51" s="15" t="str">
        <f>IF($B51="","",IF(AND(F51&gt;=ANALYSIS!$B$5,G51&lt;=ANALYSIS!$B$6),"Yes","No"))</f>
        <v/>
      </c>
      <c r="M51" s="15" t="str">
        <f t="shared" si="3"/>
        <v/>
      </c>
      <c r="N51" t="str" cm="1">
        <f t="array" ref="N51">IF($B51="","",_xlfn.TEXTJOIN(", ",TRUE,IF(ANALYSIS!$O$31:$O$130=$B51,ANALYSIS!$B$31:$B$130,"")))</f>
        <v/>
      </c>
    </row>
    <row r="52" spans="1:14" x14ac:dyDescent="0.25">
      <c r="A52" s="18" t="str">
        <f t="shared" si="0"/>
        <v/>
      </c>
      <c r="C52" s="13" t="str">
        <f>IF($B52="","",_xlfn.MINIFS(ANALYSIS!$M$31:$M$130,ANALYSIS!$O$31:$O$130,$B52))</f>
        <v/>
      </c>
      <c r="D52" s="13" t="str">
        <f>IF($B52="","",_xlfn.MINIFS(ANALYSIS!$N$31:$N$130,ANALYSIS!$O$31:$O$130,$B52))</f>
        <v/>
      </c>
      <c r="E52" s="20" t="str">
        <f>IF($B52="","",COUNTIF(ANALYSIS!$O$31:$O$130,$B52))</f>
        <v/>
      </c>
      <c r="F52" s="12" t="str">
        <f>IF($B52="","",_xlfn.MINIFS(ANALYSIS!$E$31:$E$130,ANALYSIS!$O$31:$O$130,$B52))</f>
        <v/>
      </c>
      <c r="G52" s="12" t="str">
        <f>IF($B52="","",_xlfn.MAXIFS(ANALYSIS!$E$31:$E$130,ANALYSIS!$O$31:$O$130,$B52))</f>
        <v/>
      </c>
      <c r="H52" s="12" t="str">
        <f t="shared" si="1"/>
        <v/>
      </c>
      <c r="I52" s="12" t="str">
        <f>IF($B52="","",_xlfn.MINIFS(ANALYSIS!$G$31:$G$130,ANALYSIS!$O$31:$O$130,$B52))</f>
        <v/>
      </c>
      <c r="J52" s="12" t="str">
        <f>IF($B52="","",_xlfn.MAXIFS(ANALYSIS!$G$31:$G$130,ANALYSIS!$O$31:$O$130,$B52))</f>
        <v/>
      </c>
      <c r="K52" s="12" t="str">
        <f t="shared" si="2"/>
        <v/>
      </c>
      <c r="L52" s="15" t="str">
        <f>IF($B52="","",IF(AND(F52&gt;=ANALYSIS!$B$5,G52&lt;=ANALYSIS!$B$6),"Yes","No"))</f>
        <v/>
      </c>
      <c r="M52" s="15" t="str">
        <f t="shared" si="3"/>
        <v/>
      </c>
      <c r="N52" t="str" cm="1">
        <f t="array" ref="N52">IF($B52="","",_xlfn.TEXTJOIN(", ",TRUE,IF(ANALYSIS!$O$31:$O$130=$B52,ANALYSIS!$B$31:$B$130,"")))</f>
        <v/>
      </c>
    </row>
    <row r="53" spans="1:14" x14ac:dyDescent="0.25">
      <c r="A53" s="18" t="str">
        <f t="shared" si="0"/>
        <v/>
      </c>
      <c r="C53" s="13" t="str">
        <f>IF($B53="","",_xlfn.MINIFS(ANALYSIS!$M$31:$M$130,ANALYSIS!$O$31:$O$130,$B53))</f>
        <v/>
      </c>
      <c r="D53" s="13" t="str">
        <f>IF($B53="","",_xlfn.MINIFS(ANALYSIS!$N$31:$N$130,ANALYSIS!$O$31:$O$130,$B53))</f>
        <v/>
      </c>
      <c r="E53" s="20" t="str">
        <f>IF($B53="","",COUNTIF(ANALYSIS!$O$31:$O$130,$B53))</f>
        <v/>
      </c>
      <c r="F53" s="12" t="str">
        <f>IF($B53="","",_xlfn.MINIFS(ANALYSIS!$E$31:$E$130,ANALYSIS!$O$31:$O$130,$B53))</f>
        <v/>
      </c>
      <c r="G53" s="12" t="str">
        <f>IF($B53="","",_xlfn.MAXIFS(ANALYSIS!$E$31:$E$130,ANALYSIS!$O$31:$O$130,$B53))</f>
        <v/>
      </c>
      <c r="H53" s="12" t="str">
        <f t="shared" si="1"/>
        <v/>
      </c>
      <c r="I53" s="12" t="str">
        <f>IF($B53="","",_xlfn.MINIFS(ANALYSIS!$G$31:$G$130,ANALYSIS!$O$31:$O$130,$B53))</f>
        <v/>
      </c>
      <c r="J53" s="12" t="str">
        <f>IF($B53="","",_xlfn.MAXIFS(ANALYSIS!$G$31:$G$130,ANALYSIS!$O$31:$O$130,$B53))</f>
        <v/>
      </c>
      <c r="K53" s="12" t="str">
        <f t="shared" si="2"/>
        <v/>
      </c>
      <c r="L53" s="15" t="str">
        <f>IF($B53="","",IF(AND(F53&gt;=ANALYSIS!$B$5,G53&lt;=ANALYSIS!$B$6),"Yes","No"))</f>
        <v/>
      </c>
      <c r="M53" s="15" t="str">
        <f t="shared" si="3"/>
        <v/>
      </c>
      <c r="N53" t="str" cm="1">
        <f t="array" ref="N53">IF($B53="","",_xlfn.TEXTJOIN(", ",TRUE,IF(ANALYSIS!$O$31:$O$130=$B53,ANALYSIS!$B$31:$B$130,"")))</f>
        <v/>
      </c>
    </row>
    <row r="54" spans="1:14" x14ac:dyDescent="0.25">
      <c r="A54" s="18" t="str">
        <f t="shared" si="0"/>
        <v/>
      </c>
      <c r="C54" s="13" t="str">
        <f>IF($B54="","",_xlfn.MINIFS(ANALYSIS!$M$31:$M$130,ANALYSIS!$O$31:$O$130,$B54))</f>
        <v/>
      </c>
      <c r="D54" s="13" t="str">
        <f>IF($B54="","",_xlfn.MINIFS(ANALYSIS!$N$31:$N$130,ANALYSIS!$O$31:$O$130,$B54))</f>
        <v/>
      </c>
      <c r="E54" s="20" t="str">
        <f>IF($B54="","",COUNTIF(ANALYSIS!$O$31:$O$130,$B54))</f>
        <v/>
      </c>
      <c r="F54" s="12" t="str">
        <f>IF($B54="","",_xlfn.MINIFS(ANALYSIS!$E$31:$E$130,ANALYSIS!$O$31:$O$130,$B54))</f>
        <v/>
      </c>
      <c r="G54" s="12" t="str">
        <f>IF($B54="","",_xlfn.MAXIFS(ANALYSIS!$E$31:$E$130,ANALYSIS!$O$31:$O$130,$B54))</f>
        <v/>
      </c>
      <c r="H54" s="12" t="str">
        <f t="shared" si="1"/>
        <v/>
      </c>
      <c r="I54" s="12" t="str">
        <f>IF($B54="","",_xlfn.MINIFS(ANALYSIS!$G$31:$G$130,ANALYSIS!$O$31:$O$130,$B54))</f>
        <v/>
      </c>
      <c r="J54" s="12" t="str">
        <f>IF($B54="","",_xlfn.MAXIFS(ANALYSIS!$G$31:$G$130,ANALYSIS!$O$31:$O$130,$B54))</f>
        <v/>
      </c>
      <c r="K54" s="12" t="str">
        <f t="shared" si="2"/>
        <v/>
      </c>
      <c r="L54" s="15" t="str">
        <f>IF($B54="","",IF(AND(F54&gt;=ANALYSIS!$B$5,G54&lt;=ANALYSIS!$B$6),"Yes","No"))</f>
        <v/>
      </c>
      <c r="M54" s="15" t="str">
        <f t="shared" si="3"/>
        <v/>
      </c>
      <c r="N54" t="str" cm="1">
        <f t="array" ref="N54">IF($B54="","",_xlfn.TEXTJOIN(", ",TRUE,IF(ANALYSIS!$O$31:$O$130=$B54,ANALYSIS!$B$31:$B$130,"")))</f>
        <v/>
      </c>
    </row>
    <row r="55" spans="1:14" x14ac:dyDescent="0.25">
      <c r="A55" s="18" t="str">
        <f t="shared" si="0"/>
        <v/>
      </c>
      <c r="C55" s="13" t="str">
        <f>IF($B55="","",_xlfn.MINIFS(ANALYSIS!$M$31:$M$130,ANALYSIS!$O$31:$O$130,$B55))</f>
        <v/>
      </c>
      <c r="D55" s="13" t="str">
        <f>IF($B55="","",_xlfn.MINIFS(ANALYSIS!$N$31:$N$130,ANALYSIS!$O$31:$O$130,$B55))</f>
        <v/>
      </c>
      <c r="E55" s="20" t="str">
        <f>IF($B55="","",COUNTIF(ANALYSIS!$O$31:$O$130,$B55))</f>
        <v/>
      </c>
      <c r="F55" s="12" t="str">
        <f>IF($B55="","",_xlfn.MINIFS(ANALYSIS!$E$31:$E$130,ANALYSIS!$O$31:$O$130,$B55))</f>
        <v/>
      </c>
      <c r="G55" s="12" t="str">
        <f>IF($B55="","",_xlfn.MAXIFS(ANALYSIS!$E$31:$E$130,ANALYSIS!$O$31:$O$130,$B55))</f>
        <v/>
      </c>
      <c r="H55" s="12" t="str">
        <f t="shared" si="1"/>
        <v/>
      </c>
      <c r="I55" s="12" t="str">
        <f>IF($B55="","",_xlfn.MINIFS(ANALYSIS!$G$31:$G$130,ANALYSIS!$O$31:$O$130,$B55))</f>
        <v/>
      </c>
      <c r="J55" s="12" t="str">
        <f>IF($B55="","",_xlfn.MAXIFS(ANALYSIS!$G$31:$G$130,ANALYSIS!$O$31:$O$130,$B55))</f>
        <v/>
      </c>
      <c r="K55" s="12" t="str">
        <f t="shared" si="2"/>
        <v/>
      </c>
      <c r="L55" s="15" t="str">
        <f>IF($B55="","",IF(AND(F55&gt;=ANALYSIS!$B$5,G55&lt;=ANALYSIS!$B$6),"Yes","No"))</f>
        <v/>
      </c>
      <c r="M55" s="15" t="str">
        <f t="shared" si="3"/>
        <v/>
      </c>
      <c r="N55" t="str" cm="1">
        <f t="array" ref="N55">IF($B55="","",_xlfn.TEXTJOIN(", ",TRUE,IF(ANALYSIS!$O$31:$O$130=$B55,ANALYSIS!$B$31:$B$130,"")))</f>
        <v/>
      </c>
    </row>
    <row r="56" spans="1:14" x14ac:dyDescent="0.25">
      <c r="A56" s="18" t="str">
        <f t="shared" si="0"/>
        <v/>
      </c>
      <c r="C56" s="13" t="str">
        <f>IF($B56="","",_xlfn.MINIFS(ANALYSIS!$M$31:$M$130,ANALYSIS!$O$31:$O$130,$B56))</f>
        <v/>
      </c>
      <c r="D56" s="13" t="str">
        <f>IF($B56="","",_xlfn.MINIFS(ANALYSIS!$N$31:$N$130,ANALYSIS!$O$31:$O$130,$B56))</f>
        <v/>
      </c>
      <c r="E56" s="20" t="str">
        <f>IF($B56="","",COUNTIF(ANALYSIS!$O$31:$O$130,$B56))</f>
        <v/>
      </c>
      <c r="F56" s="12" t="str">
        <f>IF($B56="","",_xlfn.MINIFS(ANALYSIS!$E$31:$E$130,ANALYSIS!$O$31:$O$130,$B56))</f>
        <v/>
      </c>
      <c r="G56" s="12" t="str">
        <f>IF($B56="","",_xlfn.MAXIFS(ANALYSIS!$E$31:$E$130,ANALYSIS!$O$31:$O$130,$B56))</f>
        <v/>
      </c>
      <c r="H56" s="12" t="str">
        <f t="shared" si="1"/>
        <v/>
      </c>
      <c r="I56" s="12" t="str">
        <f>IF($B56="","",_xlfn.MINIFS(ANALYSIS!$G$31:$G$130,ANALYSIS!$O$31:$O$130,$B56))</f>
        <v/>
      </c>
      <c r="J56" s="12" t="str">
        <f>IF($B56="","",_xlfn.MAXIFS(ANALYSIS!$G$31:$G$130,ANALYSIS!$O$31:$O$130,$B56))</f>
        <v/>
      </c>
      <c r="K56" s="12" t="str">
        <f t="shared" si="2"/>
        <v/>
      </c>
      <c r="L56" s="15" t="str">
        <f>IF($B56="","",IF(AND(F56&gt;=ANALYSIS!$B$5,G56&lt;=ANALYSIS!$B$6),"Yes","No"))</f>
        <v/>
      </c>
      <c r="M56" s="15" t="str">
        <f t="shared" si="3"/>
        <v/>
      </c>
      <c r="N56" t="str" cm="1">
        <f t="array" ref="N56">IF($B56="","",_xlfn.TEXTJOIN(", ",TRUE,IF(ANALYSIS!$O$31:$O$130=$B56,ANALYSIS!$B$31:$B$130,"")))</f>
        <v/>
      </c>
    </row>
    <row r="57" spans="1:14" x14ac:dyDescent="0.25">
      <c r="A57" s="18" t="str">
        <f t="shared" si="0"/>
        <v/>
      </c>
      <c r="C57" s="13" t="str">
        <f>IF($B57="","",_xlfn.MINIFS(ANALYSIS!$M$31:$M$130,ANALYSIS!$O$31:$O$130,$B57))</f>
        <v/>
      </c>
      <c r="D57" s="13" t="str">
        <f>IF($B57="","",_xlfn.MINIFS(ANALYSIS!$N$31:$N$130,ANALYSIS!$O$31:$O$130,$B57))</f>
        <v/>
      </c>
      <c r="E57" s="20" t="str">
        <f>IF($B57="","",COUNTIF(ANALYSIS!$O$31:$O$130,$B57))</f>
        <v/>
      </c>
      <c r="F57" s="12" t="str">
        <f>IF($B57="","",_xlfn.MINIFS(ANALYSIS!$E$31:$E$130,ANALYSIS!$O$31:$O$130,$B57))</f>
        <v/>
      </c>
      <c r="G57" s="12" t="str">
        <f>IF($B57="","",_xlfn.MAXIFS(ANALYSIS!$E$31:$E$130,ANALYSIS!$O$31:$O$130,$B57))</f>
        <v/>
      </c>
      <c r="H57" s="12" t="str">
        <f t="shared" si="1"/>
        <v/>
      </c>
      <c r="I57" s="12" t="str">
        <f>IF($B57="","",_xlfn.MINIFS(ANALYSIS!$G$31:$G$130,ANALYSIS!$O$31:$O$130,$B57))</f>
        <v/>
      </c>
      <c r="J57" s="12" t="str">
        <f>IF($B57="","",_xlfn.MAXIFS(ANALYSIS!$G$31:$G$130,ANALYSIS!$O$31:$O$130,$B57))</f>
        <v/>
      </c>
      <c r="K57" s="12" t="str">
        <f t="shared" si="2"/>
        <v/>
      </c>
      <c r="L57" s="15" t="str">
        <f>IF($B57="","",IF(AND(F57&gt;=ANALYSIS!$B$5,G57&lt;=ANALYSIS!$B$6),"Yes","No"))</f>
        <v/>
      </c>
      <c r="M57" s="15" t="str">
        <f t="shared" si="3"/>
        <v/>
      </c>
      <c r="N57" t="str" cm="1">
        <f t="array" ref="N57">IF($B57="","",_xlfn.TEXTJOIN(", ",TRUE,IF(ANALYSIS!$O$31:$O$130=$B57,ANALYSIS!$B$31:$B$130,"")))</f>
        <v/>
      </c>
    </row>
    <row r="58" spans="1:14" x14ac:dyDescent="0.25">
      <c r="A58" s="18" t="str">
        <f t="shared" si="0"/>
        <v/>
      </c>
      <c r="C58" s="13" t="str">
        <f>IF($B58="","",_xlfn.MINIFS(ANALYSIS!$M$31:$M$130,ANALYSIS!$O$31:$O$130,$B58))</f>
        <v/>
      </c>
      <c r="D58" s="13" t="str">
        <f>IF($B58="","",_xlfn.MINIFS(ANALYSIS!$N$31:$N$130,ANALYSIS!$O$31:$O$130,$B58))</f>
        <v/>
      </c>
      <c r="E58" s="20" t="str">
        <f>IF($B58="","",COUNTIF(ANALYSIS!$O$31:$O$130,$B58))</f>
        <v/>
      </c>
      <c r="F58" s="12" t="str">
        <f>IF($B58="","",_xlfn.MINIFS(ANALYSIS!$E$31:$E$130,ANALYSIS!$O$31:$O$130,$B58))</f>
        <v/>
      </c>
      <c r="G58" s="12" t="str">
        <f>IF($B58="","",_xlfn.MAXIFS(ANALYSIS!$E$31:$E$130,ANALYSIS!$O$31:$O$130,$B58))</f>
        <v/>
      </c>
      <c r="H58" s="12" t="str">
        <f t="shared" si="1"/>
        <v/>
      </c>
      <c r="I58" s="12" t="str">
        <f>IF($B58="","",_xlfn.MINIFS(ANALYSIS!$G$31:$G$130,ANALYSIS!$O$31:$O$130,$B58))</f>
        <v/>
      </c>
      <c r="J58" s="12" t="str">
        <f>IF($B58="","",_xlfn.MAXIFS(ANALYSIS!$G$31:$G$130,ANALYSIS!$O$31:$O$130,$B58))</f>
        <v/>
      </c>
      <c r="K58" s="12" t="str">
        <f t="shared" si="2"/>
        <v/>
      </c>
      <c r="L58" s="15" t="str">
        <f>IF($B58="","",IF(AND(F58&gt;=ANALYSIS!$B$5,G58&lt;=ANALYSIS!$B$6),"Yes","No"))</f>
        <v/>
      </c>
      <c r="M58" s="15" t="str">
        <f t="shared" si="3"/>
        <v/>
      </c>
      <c r="N58" t="str" cm="1">
        <f t="array" ref="N58">IF($B58="","",_xlfn.TEXTJOIN(", ",TRUE,IF(ANALYSIS!$O$31:$O$130=$B58,ANALYSIS!$B$31:$B$130,"")))</f>
        <v/>
      </c>
    </row>
    <row r="59" spans="1:14" x14ac:dyDescent="0.25">
      <c r="A59" s="18" t="str">
        <f t="shared" si="0"/>
        <v/>
      </c>
      <c r="C59" s="13" t="str">
        <f>IF($B59="","",_xlfn.MINIFS(ANALYSIS!$M$31:$M$130,ANALYSIS!$O$31:$O$130,$B59))</f>
        <v/>
      </c>
      <c r="D59" s="13" t="str">
        <f>IF($B59="","",_xlfn.MINIFS(ANALYSIS!$N$31:$N$130,ANALYSIS!$O$31:$O$130,$B59))</f>
        <v/>
      </c>
      <c r="E59" s="20" t="str">
        <f>IF($B59="","",COUNTIF(ANALYSIS!$O$31:$O$130,$B59))</f>
        <v/>
      </c>
      <c r="F59" s="12" t="str">
        <f>IF($B59="","",_xlfn.MINIFS(ANALYSIS!$E$31:$E$130,ANALYSIS!$O$31:$O$130,$B59))</f>
        <v/>
      </c>
      <c r="G59" s="12" t="str">
        <f>IF($B59="","",_xlfn.MAXIFS(ANALYSIS!$E$31:$E$130,ANALYSIS!$O$31:$O$130,$B59))</f>
        <v/>
      </c>
      <c r="H59" s="12" t="str">
        <f t="shared" si="1"/>
        <v/>
      </c>
      <c r="I59" s="12" t="str">
        <f>IF($B59="","",_xlfn.MINIFS(ANALYSIS!$G$31:$G$130,ANALYSIS!$O$31:$O$130,$B59))</f>
        <v/>
      </c>
      <c r="J59" s="12" t="str">
        <f>IF($B59="","",_xlfn.MAXIFS(ANALYSIS!$G$31:$G$130,ANALYSIS!$O$31:$O$130,$B59))</f>
        <v/>
      </c>
      <c r="K59" s="12" t="str">
        <f t="shared" si="2"/>
        <v/>
      </c>
      <c r="L59" s="15" t="str">
        <f>IF($B59="","",IF(AND(F59&gt;=ANALYSIS!$B$5,G59&lt;=ANALYSIS!$B$6),"Yes","No"))</f>
        <v/>
      </c>
      <c r="M59" s="15" t="str">
        <f t="shared" si="3"/>
        <v/>
      </c>
      <c r="N59" t="str" cm="1">
        <f t="array" ref="N59">IF($B59="","",_xlfn.TEXTJOIN(", ",TRUE,IF(ANALYSIS!$O$31:$O$130=$B59,ANALYSIS!$B$31:$B$130,"")))</f>
        <v/>
      </c>
    </row>
    <row r="60" spans="1:14" x14ac:dyDescent="0.25">
      <c r="A60" s="18" t="str">
        <f t="shared" si="0"/>
        <v/>
      </c>
      <c r="C60" s="13" t="str">
        <f>IF($B60="","",_xlfn.MINIFS(ANALYSIS!$M$31:$M$130,ANALYSIS!$O$31:$O$130,$B60))</f>
        <v/>
      </c>
      <c r="D60" s="13" t="str">
        <f>IF($B60="","",_xlfn.MINIFS(ANALYSIS!$N$31:$N$130,ANALYSIS!$O$31:$O$130,$B60))</f>
        <v/>
      </c>
      <c r="E60" s="20" t="str">
        <f>IF($B60="","",COUNTIF(ANALYSIS!$O$31:$O$130,$B60))</f>
        <v/>
      </c>
      <c r="F60" s="12" t="str">
        <f>IF($B60="","",_xlfn.MINIFS(ANALYSIS!$E$31:$E$130,ANALYSIS!$O$31:$O$130,$B60))</f>
        <v/>
      </c>
      <c r="G60" s="12" t="str">
        <f>IF($B60="","",_xlfn.MAXIFS(ANALYSIS!$E$31:$E$130,ANALYSIS!$O$31:$O$130,$B60))</f>
        <v/>
      </c>
      <c r="H60" s="12" t="str">
        <f t="shared" si="1"/>
        <v/>
      </c>
      <c r="I60" s="12" t="str">
        <f>IF($B60="","",_xlfn.MINIFS(ANALYSIS!$G$31:$G$130,ANALYSIS!$O$31:$O$130,$B60))</f>
        <v/>
      </c>
      <c r="J60" s="12" t="str">
        <f>IF($B60="","",_xlfn.MAXIFS(ANALYSIS!$G$31:$G$130,ANALYSIS!$O$31:$O$130,$B60))</f>
        <v/>
      </c>
      <c r="K60" s="12" t="str">
        <f t="shared" si="2"/>
        <v/>
      </c>
      <c r="L60" s="15" t="str">
        <f>IF($B60="","",IF(AND(F60&gt;=ANALYSIS!$B$5,G60&lt;=ANALYSIS!$B$6),"Yes","No"))</f>
        <v/>
      </c>
      <c r="M60" s="15" t="str">
        <f t="shared" si="3"/>
        <v/>
      </c>
      <c r="N60" t="str" cm="1">
        <f t="array" ref="N60">IF($B60="","",_xlfn.TEXTJOIN(", ",TRUE,IF(ANALYSIS!$O$31:$O$130=$B60,ANALYSIS!$B$31:$B$130,"")))</f>
        <v/>
      </c>
    </row>
    <row r="61" spans="1:14" x14ac:dyDescent="0.25">
      <c r="A61" s="18" t="str">
        <f t="shared" si="0"/>
        <v/>
      </c>
      <c r="C61" s="13" t="str">
        <f>IF($B61="","",_xlfn.MINIFS(ANALYSIS!$M$31:$M$130,ANALYSIS!$O$31:$O$130,$B61))</f>
        <v/>
      </c>
      <c r="D61" s="13" t="str">
        <f>IF($B61="","",_xlfn.MINIFS(ANALYSIS!$N$31:$N$130,ANALYSIS!$O$31:$O$130,$B61))</f>
        <v/>
      </c>
      <c r="E61" s="20" t="str">
        <f>IF($B61="","",COUNTIF(ANALYSIS!$O$31:$O$130,$B61))</f>
        <v/>
      </c>
      <c r="F61" s="12" t="str">
        <f>IF($B61="","",_xlfn.MINIFS(ANALYSIS!$E$31:$E$130,ANALYSIS!$O$31:$O$130,$B61))</f>
        <v/>
      </c>
      <c r="G61" s="12" t="str">
        <f>IF($B61="","",_xlfn.MAXIFS(ANALYSIS!$E$31:$E$130,ANALYSIS!$O$31:$O$130,$B61))</f>
        <v/>
      </c>
      <c r="H61" s="12" t="str">
        <f t="shared" si="1"/>
        <v/>
      </c>
      <c r="I61" s="12" t="str">
        <f>IF($B61="","",_xlfn.MINIFS(ANALYSIS!$G$31:$G$130,ANALYSIS!$O$31:$O$130,$B61))</f>
        <v/>
      </c>
      <c r="J61" s="12" t="str">
        <f>IF($B61="","",_xlfn.MAXIFS(ANALYSIS!$G$31:$G$130,ANALYSIS!$O$31:$O$130,$B61))</f>
        <v/>
      </c>
      <c r="K61" s="12" t="str">
        <f t="shared" si="2"/>
        <v/>
      </c>
      <c r="L61" s="15" t="str">
        <f>IF($B61="","",IF(AND(F61&gt;=ANALYSIS!$B$5,G61&lt;=ANALYSIS!$B$6),"Yes","No"))</f>
        <v/>
      </c>
      <c r="M61" s="15" t="str">
        <f t="shared" si="3"/>
        <v/>
      </c>
      <c r="N61" t="str" cm="1">
        <f t="array" ref="N61">IF($B61="","",_xlfn.TEXTJOIN(", ",TRUE,IF(ANALYSIS!$O$31:$O$130=$B61,ANALYSIS!$B$31:$B$130,"")))</f>
        <v/>
      </c>
    </row>
    <row r="62" spans="1:14" x14ac:dyDescent="0.25">
      <c r="A62" s="18" t="str">
        <f t="shared" si="0"/>
        <v/>
      </c>
      <c r="C62" s="13" t="str">
        <f>IF($B62="","",_xlfn.MINIFS(ANALYSIS!$M$31:$M$130,ANALYSIS!$O$31:$O$130,$B62))</f>
        <v/>
      </c>
      <c r="D62" s="13" t="str">
        <f>IF($B62="","",_xlfn.MINIFS(ANALYSIS!$N$31:$N$130,ANALYSIS!$O$31:$O$130,$B62))</f>
        <v/>
      </c>
      <c r="E62" s="20" t="str">
        <f>IF($B62="","",COUNTIF(ANALYSIS!$O$31:$O$130,$B62))</f>
        <v/>
      </c>
      <c r="F62" s="12" t="str">
        <f>IF($B62="","",_xlfn.MINIFS(ANALYSIS!$E$31:$E$130,ANALYSIS!$O$31:$O$130,$B62))</f>
        <v/>
      </c>
      <c r="G62" s="12" t="str">
        <f>IF($B62="","",_xlfn.MAXIFS(ANALYSIS!$E$31:$E$130,ANALYSIS!$O$31:$O$130,$B62))</f>
        <v/>
      </c>
      <c r="H62" s="12" t="str">
        <f t="shared" si="1"/>
        <v/>
      </c>
      <c r="I62" s="12" t="str">
        <f>IF($B62="","",_xlfn.MINIFS(ANALYSIS!$G$31:$G$130,ANALYSIS!$O$31:$O$130,$B62))</f>
        <v/>
      </c>
      <c r="J62" s="12" t="str">
        <f>IF($B62="","",_xlfn.MAXIFS(ANALYSIS!$G$31:$G$130,ANALYSIS!$O$31:$O$130,$B62))</f>
        <v/>
      </c>
      <c r="K62" s="12" t="str">
        <f t="shared" si="2"/>
        <v/>
      </c>
      <c r="L62" s="15" t="str">
        <f>IF($B62="","",IF(AND(F62&gt;=ANALYSIS!$B$5,G62&lt;=ANALYSIS!$B$6),"Yes","No"))</f>
        <v/>
      </c>
      <c r="M62" s="15" t="str">
        <f t="shared" si="3"/>
        <v/>
      </c>
      <c r="N62" t="str" cm="1">
        <f t="array" ref="N62">IF($B62="","",_xlfn.TEXTJOIN(", ",TRUE,IF(ANALYSIS!$O$31:$O$130=$B62,ANALYSIS!$B$31:$B$130,"")))</f>
        <v/>
      </c>
    </row>
    <row r="63" spans="1:14" x14ac:dyDescent="0.25">
      <c r="A63" s="18" t="str">
        <f t="shared" si="0"/>
        <v/>
      </c>
      <c r="C63" s="13" t="str">
        <f>IF($B63="","",_xlfn.MINIFS(ANALYSIS!$M$31:$M$130,ANALYSIS!$O$31:$O$130,$B63))</f>
        <v/>
      </c>
      <c r="D63" s="13" t="str">
        <f>IF($B63="","",_xlfn.MINIFS(ANALYSIS!$N$31:$N$130,ANALYSIS!$O$31:$O$130,$B63))</f>
        <v/>
      </c>
      <c r="E63" s="20" t="str">
        <f>IF($B63="","",COUNTIF(ANALYSIS!$O$31:$O$130,$B63))</f>
        <v/>
      </c>
      <c r="F63" s="12" t="str">
        <f>IF($B63="","",_xlfn.MINIFS(ANALYSIS!$E$31:$E$130,ANALYSIS!$O$31:$O$130,$B63))</f>
        <v/>
      </c>
      <c r="G63" s="12" t="str">
        <f>IF($B63="","",_xlfn.MAXIFS(ANALYSIS!$E$31:$E$130,ANALYSIS!$O$31:$O$130,$B63))</f>
        <v/>
      </c>
      <c r="H63" s="12" t="str">
        <f t="shared" si="1"/>
        <v/>
      </c>
      <c r="I63" s="12" t="str">
        <f>IF($B63="","",_xlfn.MINIFS(ANALYSIS!$G$31:$G$130,ANALYSIS!$O$31:$O$130,$B63))</f>
        <v/>
      </c>
      <c r="J63" s="12" t="str">
        <f>IF($B63="","",_xlfn.MAXIFS(ANALYSIS!$G$31:$G$130,ANALYSIS!$O$31:$O$130,$B63))</f>
        <v/>
      </c>
      <c r="K63" s="12" t="str">
        <f t="shared" si="2"/>
        <v/>
      </c>
      <c r="L63" s="15" t="str">
        <f>IF($B63="","",IF(AND(F63&gt;=ANALYSIS!$B$5,G63&lt;=ANALYSIS!$B$6),"Yes","No"))</f>
        <v/>
      </c>
      <c r="M63" s="15" t="str">
        <f t="shared" si="3"/>
        <v/>
      </c>
      <c r="N63" t="str" cm="1">
        <f t="array" ref="N63">IF($B63="","",_xlfn.TEXTJOIN(", ",TRUE,IF(ANALYSIS!$O$31:$O$130=$B63,ANALYSIS!$B$31:$B$130,"")))</f>
        <v/>
      </c>
    </row>
    <row r="64" spans="1:14" x14ac:dyDescent="0.25">
      <c r="A64" s="18" t="str">
        <f t="shared" si="0"/>
        <v/>
      </c>
      <c r="C64" s="13" t="str">
        <f>IF($B64="","",_xlfn.MINIFS(ANALYSIS!$M$31:$M$130,ANALYSIS!$O$31:$O$130,$B64))</f>
        <v/>
      </c>
      <c r="D64" s="13" t="str">
        <f>IF($B64="","",_xlfn.MINIFS(ANALYSIS!$N$31:$N$130,ANALYSIS!$O$31:$O$130,$B64))</f>
        <v/>
      </c>
      <c r="E64" s="20" t="str">
        <f>IF($B64="","",COUNTIF(ANALYSIS!$O$31:$O$130,$B64))</f>
        <v/>
      </c>
      <c r="F64" s="12" t="str">
        <f>IF($B64="","",_xlfn.MINIFS(ANALYSIS!$E$31:$E$130,ANALYSIS!$O$31:$O$130,$B64))</f>
        <v/>
      </c>
      <c r="G64" s="12" t="str">
        <f>IF($B64="","",_xlfn.MAXIFS(ANALYSIS!$E$31:$E$130,ANALYSIS!$O$31:$O$130,$B64))</f>
        <v/>
      </c>
      <c r="H64" s="12" t="str">
        <f t="shared" si="1"/>
        <v/>
      </c>
      <c r="I64" s="12" t="str">
        <f>IF($B64="","",_xlfn.MINIFS(ANALYSIS!$G$31:$G$130,ANALYSIS!$O$31:$O$130,$B64))</f>
        <v/>
      </c>
      <c r="J64" s="12" t="str">
        <f>IF($B64="","",_xlfn.MAXIFS(ANALYSIS!$G$31:$G$130,ANALYSIS!$O$31:$O$130,$B64))</f>
        <v/>
      </c>
      <c r="K64" s="12" t="str">
        <f t="shared" si="2"/>
        <v/>
      </c>
      <c r="L64" s="15" t="str">
        <f>IF($B64="","",IF(AND(F64&gt;=ANALYSIS!$B$5,G64&lt;=ANALYSIS!$B$6),"Yes","No"))</f>
        <v/>
      </c>
      <c r="M64" s="15" t="str">
        <f t="shared" si="3"/>
        <v/>
      </c>
      <c r="N64" t="str" cm="1">
        <f t="array" ref="N64">IF($B64="","",_xlfn.TEXTJOIN(", ",TRUE,IF(ANALYSIS!$O$31:$O$130=$B64,ANALYSIS!$B$31:$B$130,"")))</f>
        <v/>
      </c>
    </row>
    <row r="65" spans="1:14" x14ac:dyDescent="0.25">
      <c r="A65" s="18" t="str">
        <f t="shared" si="0"/>
        <v/>
      </c>
      <c r="C65" s="13" t="str">
        <f>IF($B65="","",_xlfn.MINIFS(ANALYSIS!$M$31:$M$130,ANALYSIS!$O$31:$O$130,$B65))</f>
        <v/>
      </c>
      <c r="D65" s="13" t="str">
        <f>IF($B65="","",_xlfn.MINIFS(ANALYSIS!$N$31:$N$130,ANALYSIS!$O$31:$O$130,$B65))</f>
        <v/>
      </c>
      <c r="E65" s="20" t="str">
        <f>IF($B65="","",COUNTIF(ANALYSIS!$O$31:$O$130,$B65))</f>
        <v/>
      </c>
      <c r="F65" s="12" t="str">
        <f>IF($B65="","",_xlfn.MINIFS(ANALYSIS!$E$31:$E$130,ANALYSIS!$O$31:$O$130,$B65))</f>
        <v/>
      </c>
      <c r="G65" s="12" t="str">
        <f>IF($B65="","",_xlfn.MAXIFS(ANALYSIS!$E$31:$E$130,ANALYSIS!$O$31:$O$130,$B65))</f>
        <v/>
      </c>
      <c r="H65" s="12" t="str">
        <f t="shared" si="1"/>
        <v/>
      </c>
      <c r="I65" s="12" t="str">
        <f>IF($B65="","",_xlfn.MINIFS(ANALYSIS!$G$31:$G$130,ANALYSIS!$O$31:$O$130,$B65))</f>
        <v/>
      </c>
      <c r="J65" s="12" t="str">
        <f>IF($B65="","",_xlfn.MAXIFS(ANALYSIS!$G$31:$G$130,ANALYSIS!$O$31:$O$130,$B65))</f>
        <v/>
      </c>
      <c r="K65" s="12" t="str">
        <f t="shared" si="2"/>
        <v/>
      </c>
      <c r="L65" s="15" t="str">
        <f>IF($B65="","",IF(AND(F65&gt;=ANALYSIS!$B$5,G65&lt;=ANALYSIS!$B$6),"Yes","No"))</f>
        <v/>
      </c>
      <c r="M65" s="15" t="str">
        <f t="shared" si="3"/>
        <v/>
      </c>
      <c r="N65" t="str" cm="1">
        <f t="array" ref="N65">IF($B65="","",_xlfn.TEXTJOIN(", ",TRUE,IF(ANALYSIS!$O$31:$O$130=$B65,ANALYSIS!$B$31:$B$130,"")))</f>
        <v/>
      </c>
    </row>
    <row r="66" spans="1:14" x14ac:dyDescent="0.25">
      <c r="A66" s="18" t="str">
        <f t="shared" si="0"/>
        <v/>
      </c>
      <c r="C66" s="13" t="str">
        <f>IF($B66="","",_xlfn.MINIFS(ANALYSIS!$M$31:$M$130,ANALYSIS!$O$31:$O$130,$B66))</f>
        <v/>
      </c>
      <c r="D66" s="13" t="str">
        <f>IF($B66="","",_xlfn.MINIFS(ANALYSIS!$N$31:$N$130,ANALYSIS!$O$31:$O$130,$B66))</f>
        <v/>
      </c>
      <c r="E66" s="20" t="str">
        <f>IF($B66="","",COUNTIF(ANALYSIS!$O$31:$O$130,$B66))</f>
        <v/>
      </c>
      <c r="F66" s="12" t="str">
        <f>IF($B66="","",_xlfn.MINIFS(ANALYSIS!$E$31:$E$130,ANALYSIS!$O$31:$O$130,$B66))</f>
        <v/>
      </c>
      <c r="G66" s="12" t="str">
        <f>IF($B66="","",_xlfn.MAXIFS(ANALYSIS!$E$31:$E$130,ANALYSIS!$O$31:$O$130,$B66))</f>
        <v/>
      </c>
      <c r="H66" s="12" t="str">
        <f t="shared" si="1"/>
        <v/>
      </c>
      <c r="I66" s="12" t="str">
        <f>IF($B66="","",_xlfn.MINIFS(ANALYSIS!$G$31:$G$130,ANALYSIS!$O$31:$O$130,$B66))</f>
        <v/>
      </c>
      <c r="J66" s="12" t="str">
        <f>IF($B66="","",_xlfn.MAXIFS(ANALYSIS!$G$31:$G$130,ANALYSIS!$O$31:$O$130,$B66))</f>
        <v/>
      </c>
      <c r="K66" s="12" t="str">
        <f t="shared" si="2"/>
        <v/>
      </c>
      <c r="L66" s="15" t="str">
        <f>IF($B66="","",IF(AND(F66&gt;=ANALYSIS!$B$5,G66&lt;=ANALYSIS!$B$6),"Yes","No"))</f>
        <v/>
      </c>
      <c r="M66" s="15" t="str">
        <f t="shared" si="3"/>
        <v/>
      </c>
      <c r="N66" t="str" cm="1">
        <f t="array" ref="N66">IF($B66="","",_xlfn.TEXTJOIN(", ",TRUE,IF(ANALYSIS!$O$31:$O$130=$B66,ANALYSIS!$B$31:$B$130,"")))</f>
        <v/>
      </c>
    </row>
    <row r="67" spans="1:14" x14ac:dyDescent="0.25">
      <c r="A67" s="18" t="str">
        <f t="shared" si="0"/>
        <v/>
      </c>
      <c r="C67" s="13" t="str">
        <f>IF($B67="","",_xlfn.MINIFS(ANALYSIS!$M$31:$M$130,ANALYSIS!$O$31:$O$130,$B67))</f>
        <v/>
      </c>
      <c r="D67" s="13" t="str">
        <f>IF($B67="","",_xlfn.MINIFS(ANALYSIS!$N$31:$N$130,ANALYSIS!$O$31:$O$130,$B67))</f>
        <v/>
      </c>
      <c r="E67" s="20" t="str">
        <f>IF($B67="","",COUNTIF(ANALYSIS!$O$31:$O$130,$B67))</f>
        <v/>
      </c>
      <c r="F67" s="12" t="str">
        <f>IF($B67="","",_xlfn.MINIFS(ANALYSIS!$E$31:$E$130,ANALYSIS!$O$31:$O$130,$B67))</f>
        <v/>
      </c>
      <c r="G67" s="12" t="str">
        <f>IF($B67="","",_xlfn.MAXIFS(ANALYSIS!$E$31:$E$130,ANALYSIS!$O$31:$O$130,$B67))</f>
        <v/>
      </c>
      <c r="H67" s="12" t="str">
        <f t="shared" si="1"/>
        <v/>
      </c>
      <c r="I67" s="12" t="str">
        <f>IF($B67="","",_xlfn.MINIFS(ANALYSIS!$G$31:$G$130,ANALYSIS!$O$31:$O$130,$B67))</f>
        <v/>
      </c>
      <c r="J67" s="12" t="str">
        <f>IF($B67="","",_xlfn.MAXIFS(ANALYSIS!$G$31:$G$130,ANALYSIS!$O$31:$O$130,$B67))</f>
        <v/>
      </c>
      <c r="K67" s="12" t="str">
        <f t="shared" si="2"/>
        <v/>
      </c>
      <c r="L67" s="15" t="str">
        <f>IF($B67="","",IF(AND(F67&gt;=ANALYSIS!$B$5,G67&lt;=ANALYSIS!$B$6),"Yes","No"))</f>
        <v/>
      </c>
      <c r="M67" s="15" t="str">
        <f t="shared" si="3"/>
        <v/>
      </c>
      <c r="N67" t="str" cm="1">
        <f t="array" ref="N67">IF($B67="","",_xlfn.TEXTJOIN(", ",TRUE,IF(ANALYSIS!$O$31:$O$130=$B67,ANALYSIS!$B$31:$B$130,"")))</f>
        <v/>
      </c>
    </row>
    <row r="68" spans="1:14" x14ac:dyDescent="0.25">
      <c r="A68" s="18" t="str">
        <f t="shared" si="0"/>
        <v/>
      </c>
      <c r="C68" s="13" t="str">
        <f>IF($B68="","",_xlfn.MINIFS(ANALYSIS!$M$31:$M$130,ANALYSIS!$O$31:$O$130,$B68))</f>
        <v/>
      </c>
      <c r="D68" s="13" t="str">
        <f>IF($B68="","",_xlfn.MINIFS(ANALYSIS!$N$31:$N$130,ANALYSIS!$O$31:$O$130,$B68))</f>
        <v/>
      </c>
      <c r="E68" s="20" t="str">
        <f>IF($B68="","",COUNTIF(ANALYSIS!$O$31:$O$130,$B68))</f>
        <v/>
      </c>
      <c r="F68" s="12" t="str">
        <f>IF($B68="","",_xlfn.MINIFS(ANALYSIS!$E$31:$E$130,ANALYSIS!$O$31:$O$130,$B68))</f>
        <v/>
      </c>
      <c r="G68" s="12" t="str">
        <f>IF($B68="","",_xlfn.MAXIFS(ANALYSIS!$E$31:$E$130,ANALYSIS!$O$31:$O$130,$B68))</f>
        <v/>
      </c>
      <c r="H68" s="12" t="str">
        <f t="shared" si="1"/>
        <v/>
      </c>
      <c r="I68" s="12" t="str">
        <f>IF($B68="","",_xlfn.MINIFS(ANALYSIS!$G$31:$G$130,ANALYSIS!$O$31:$O$130,$B68))</f>
        <v/>
      </c>
      <c r="J68" s="12" t="str">
        <f>IF($B68="","",_xlfn.MAXIFS(ANALYSIS!$G$31:$G$130,ANALYSIS!$O$31:$O$130,$B68))</f>
        <v/>
      </c>
      <c r="K68" s="12" t="str">
        <f t="shared" si="2"/>
        <v/>
      </c>
      <c r="L68" s="15" t="str">
        <f>IF($B68="","",IF(AND(F68&gt;=ANALYSIS!$B$5,G68&lt;=ANALYSIS!$B$6),"Yes","No"))</f>
        <v/>
      </c>
      <c r="M68" s="15" t="str">
        <f t="shared" si="3"/>
        <v/>
      </c>
      <c r="N68" t="str" cm="1">
        <f t="array" ref="N68">IF($B68="","",_xlfn.TEXTJOIN(", ",TRUE,IF(ANALYSIS!$O$31:$O$130=$B68,ANALYSIS!$B$31:$B$130,"")))</f>
        <v/>
      </c>
    </row>
    <row r="69" spans="1:14" x14ac:dyDescent="0.25">
      <c r="A69" s="18" t="str">
        <f t="shared" si="0"/>
        <v/>
      </c>
      <c r="C69" s="13" t="str">
        <f>IF($B69="","",_xlfn.MINIFS(ANALYSIS!$M$31:$M$130,ANALYSIS!$O$31:$O$130,$B69))</f>
        <v/>
      </c>
      <c r="D69" s="13" t="str">
        <f>IF($B69="","",_xlfn.MINIFS(ANALYSIS!$N$31:$N$130,ANALYSIS!$O$31:$O$130,$B69))</f>
        <v/>
      </c>
      <c r="E69" s="20" t="str">
        <f>IF($B69="","",COUNTIF(ANALYSIS!$O$31:$O$130,$B69))</f>
        <v/>
      </c>
      <c r="F69" s="12" t="str">
        <f>IF($B69="","",_xlfn.MINIFS(ANALYSIS!$E$31:$E$130,ANALYSIS!$O$31:$O$130,$B69))</f>
        <v/>
      </c>
      <c r="G69" s="12" t="str">
        <f>IF($B69="","",_xlfn.MAXIFS(ANALYSIS!$E$31:$E$130,ANALYSIS!$O$31:$O$130,$B69))</f>
        <v/>
      </c>
      <c r="H69" s="12" t="str">
        <f t="shared" si="1"/>
        <v/>
      </c>
      <c r="I69" s="12" t="str">
        <f>IF($B69="","",_xlfn.MINIFS(ANALYSIS!$G$31:$G$130,ANALYSIS!$O$31:$O$130,$B69))</f>
        <v/>
      </c>
      <c r="J69" s="12" t="str">
        <f>IF($B69="","",_xlfn.MAXIFS(ANALYSIS!$G$31:$G$130,ANALYSIS!$O$31:$O$130,$B69))</f>
        <v/>
      </c>
      <c r="K69" s="12" t="str">
        <f t="shared" si="2"/>
        <v/>
      </c>
      <c r="L69" s="15" t="str">
        <f>IF($B69="","",IF(AND(F69&gt;=ANALYSIS!$B$5,G69&lt;=ANALYSIS!$B$6),"Yes","No"))</f>
        <v/>
      </c>
      <c r="M69" s="15" t="str">
        <f t="shared" si="3"/>
        <v/>
      </c>
      <c r="N69" t="str" cm="1">
        <f t="array" ref="N69">IF($B69="","",_xlfn.TEXTJOIN(", ",TRUE,IF(ANALYSIS!$O$31:$O$130=$B69,ANALYSIS!$B$31:$B$130,"")))</f>
        <v/>
      </c>
    </row>
    <row r="70" spans="1:14" x14ac:dyDescent="0.25">
      <c r="A70" s="18" t="str">
        <f t="shared" si="0"/>
        <v/>
      </c>
      <c r="C70" s="13" t="str">
        <f>IF($B70="","",_xlfn.MINIFS(ANALYSIS!$M$31:$M$130,ANALYSIS!$O$31:$O$130,$B70))</f>
        <v/>
      </c>
      <c r="D70" s="13" t="str">
        <f>IF($B70="","",_xlfn.MINIFS(ANALYSIS!$N$31:$N$130,ANALYSIS!$O$31:$O$130,$B70))</f>
        <v/>
      </c>
      <c r="E70" s="20" t="str">
        <f>IF($B70="","",COUNTIF(ANALYSIS!$O$31:$O$130,$B70))</f>
        <v/>
      </c>
      <c r="F70" s="12" t="str">
        <f>IF($B70="","",_xlfn.MINIFS(ANALYSIS!$E$31:$E$130,ANALYSIS!$O$31:$O$130,$B70))</f>
        <v/>
      </c>
      <c r="G70" s="12" t="str">
        <f>IF($B70="","",_xlfn.MAXIFS(ANALYSIS!$E$31:$E$130,ANALYSIS!$O$31:$O$130,$B70))</f>
        <v/>
      </c>
      <c r="H70" s="12" t="str">
        <f t="shared" si="1"/>
        <v/>
      </c>
      <c r="I70" s="12" t="str">
        <f>IF($B70="","",_xlfn.MINIFS(ANALYSIS!$G$31:$G$130,ANALYSIS!$O$31:$O$130,$B70))</f>
        <v/>
      </c>
      <c r="J70" s="12" t="str">
        <f>IF($B70="","",_xlfn.MAXIFS(ANALYSIS!$G$31:$G$130,ANALYSIS!$O$31:$O$130,$B70))</f>
        <v/>
      </c>
      <c r="K70" s="12" t="str">
        <f t="shared" si="2"/>
        <v/>
      </c>
      <c r="L70" s="15" t="str">
        <f>IF($B70="","",IF(AND(F70&gt;=ANALYSIS!$B$5,G70&lt;=ANALYSIS!$B$6),"Yes","No"))</f>
        <v/>
      </c>
      <c r="M70" s="15" t="str">
        <f t="shared" si="3"/>
        <v/>
      </c>
      <c r="N70" t="str" cm="1">
        <f t="array" ref="N70">IF($B70="","",_xlfn.TEXTJOIN(", ",TRUE,IF(ANALYSIS!$O$31:$O$130=$B70,ANALYSIS!$B$31:$B$130,"")))</f>
        <v/>
      </c>
    </row>
    <row r="71" spans="1:14" x14ac:dyDescent="0.25">
      <c r="A71" s="18" t="str">
        <f t="shared" si="0"/>
        <v/>
      </c>
      <c r="C71" s="13" t="str">
        <f>IF($B71="","",_xlfn.MINIFS(ANALYSIS!$M$31:$M$130,ANALYSIS!$O$31:$O$130,$B71))</f>
        <v/>
      </c>
      <c r="D71" s="13" t="str">
        <f>IF($B71="","",_xlfn.MINIFS(ANALYSIS!$N$31:$N$130,ANALYSIS!$O$31:$O$130,$B71))</f>
        <v/>
      </c>
      <c r="E71" s="20" t="str">
        <f>IF($B71="","",COUNTIF(ANALYSIS!$O$31:$O$130,$B71))</f>
        <v/>
      </c>
      <c r="F71" s="12" t="str">
        <f>IF($B71="","",_xlfn.MINIFS(ANALYSIS!$E$31:$E$130,ANALYSIS!$O$31:$O$130,$B71))</f>
        <v/>
      </c>
      <c r="G71" s="12" t="str">
        <f>IF($B71="","",_xlfn.MAXIFS(ANALYSIS!$E$31:$E$130,ANALYSIS!$O$31:$O$130,$B71))</f>
        <v/>
      </c>
      <c r="H71" s="12" t="str">
        <f t="shared" si="1"/>
        <v/>
      </c>
      <c r="I71" s="12" t="str">
        <f>IF($B71="","",_xlfn.MINIFS(ANALYSIS!$G$31:$G$130,ANALYSIS!$O$31:$O$130,$B71))</f>
        <v/>
      </c>
      <c r="J71" s="12" t="str">
        <f>IF($B71="","",_xlfn.MAXIFS(ANALYSIS!$G$31:$G$130,ANALYSIS!$O$31:$O$130,$B71))</f>
        <v/>
      </c>
      <c r="K71" s="12" t="str">
        <f t="shared" si="2"/>
        <v/>
      </c>
      <c r="L71" s="15" t="str">
        <f>IF($B71="","",IF(AND(F71&gt;=ANALYSIS!$B$5,G71&lt;=ANALYSIS!$B$6),"Yes","No"))</f>
        <v/>
      </c>
      <c r="M71" s="15" t="str">
        <f t="shared" si="3"/>
        <v/>
      </c>
      <c r="N71" t="str" cm="1">
        <f t="array" ref="N71">IF($B71="","",_xlfn.TEXTJOIN(", ",TRUE,IF(ANALYSIS!$O$31:$O$130=$B71,ANALYSIS!$B$31:$B$130,"")))</f>
        <v/>
      </c>
    </row>
    <row r="72" spans="1:14" x14ac:dyDescent="0.25">
      <c r="A72" s="18" t="str">
        <f t="shared" si="0"/>
        <v/>
      </c>
      <c r="C72" s="13" t="str">
        <f>IF($B72="","",_xlfn.MINIFS(ANALYSIS!$M$31:$M$130,ANALYSIS!$O$31:$O$130,$B72))</f>
        <v/>
      </c>
      <c r="D72" s="13" t="str">
        <f>IF($B72="","",_xlfn.MINIFS(ANALYSIS!$N$31:$N$130,ANALYSIS!$O$31:$O$130,$B72))</f>
        <v/>
      </c>
      <c r="E72" s="20" t="str">
        <f>IF($B72="","",COUNTIF(ANALYSIS!$O$31:$O$130,$B72))</f>
        <v/>
      </c>
      <c r="F72" s="12" t="str">
        <f>IF($B72="","",_xlfn.MINIFS(ANALYSIS!$E$31:$E$130,ANALYSIS!$O$31:$O$130,$B72))</f>
        <v/>
      </c>
      <c r="G72" s="12" t="str">
        <f>IF($B72="","",_xlfn.MAXIFS(ANALYSIS!$E$31:$E$130,ANALYSIS!$O$31:$O$130,$B72))</f>
        <v/>
      </c>
      <c r="H72" s="12" t="str">
        <f t="shared" si="1"/>
        <v/>
      </c>
      <c r="I72" s="12" t="str">
        <f>IF($B72="","",_xlfn.MINIFS(ANALYSIS!$G$31:$G$130,ANALYSIS!$O$31:$O$130,$B72))</f>
        <v/>
      </c>
      <c r="J72" s="12" t="str">
        <f>IF($B72="","",_xlfn.MAXIFS(ANALYSIS!$G$31:$G$130,ANALYSIS!$O$31:$O$130,$B72))</f>
        <v/>
      </c>
      <c r="K72" s="12" t="str">
        <f t="shared" si="2"/>
        <v/>
      </c>
      <c r="L72" s="15" t="str">
        <f>IF($B72="","",IF(AND(F72&gt;=ANALYSIS!$B$5,G72&lt;=ANALYSIS!$B$6),"Yes","No"))</f>
        <v/>
      </c>
      <c r="M72" s="15" t="str">
        <f t="shared" si="3"/>
        <v/>
      </c>
      <c r="N72" t="str" cm="1">
        <f t="array" ref="N72">IF($B72="","",_xlfn.TEXTJOIN(", ",TRUE,IF(ANALYSIS!$O$31:$O$130=$B72,ANALYSIS!$B$31:$B$130,"")))</f>
        <v/>
      </c>
    </row>
    <row r="73" spans="1:14" x14ac:dyDescent="0.25">
      <c r="A73" s="18" t="str">
        <f t="shared" si="0"/>
        <v/>
      </c>
      <c r="C73" s="13" t="str">
        <f>IF($B73="","",_xlfn.MINIFS(ANALYSIS!$M$31:$M$130,ANALYSIS!$O$31:$O$130,$B73))</f>
        <v/>
      </c>
      <c r="D73" s="13" t="str">
        <f>IF($B73="","",_xlfn.MINIFS(ANALYSIS!$N$31:$N$130,ANALYSIS!$O$31:$O$130,$B73))</f>
        <v/>
      </c>
      <c r="E73" s="20" t="str">
        <f>IF($B73="","",COUNTIF(ANALYSIS!$O$31:$O$130,$B73))</f>
        <v/>
      </c>
      <c r="F73" s="12" t="str">
        <f>IF($B73="","",_xlfn.MINIFS(ANALYSIS!$E$31:$E$130,ANALYSIS!$O$31:$O$130,$B73))</f>
        <v/>
      </c>
      <c r="G73" s="12" t="str">
        <f>IF($B73="","",_xlfn.MAXIFS(ANALYSIS!$E$31:$E$130,ANALYSIS!$O$31:$O$130,$B73))</f>
        <v/>
      </c>
      <c r="H73" s="12" t="str">
        <f t="shared" si="1"/>
        <v/>
      </c>
      <c r="I73" s="12" t="str">
        <f>IF($B73="","",_xlfn.MINIFS(ANALYSIS!$G$31:$G$130,ANALYSIS!$O$31:$O$130,$B73))</f>
        <v/>
      </c>
      <c r="J73" s="12" t="str">
        <f>IF($B73="","",_xlfn.MAXIFS(ANALYSIS!$G$31:$G$130,ANALYSIS!$O$31:$O$130,$B73))</f>
        <v/>
      </c>
      <c r="K73" s="12" t="str">
        <f t="shared" si="2"/>
        <v/>
      </c>
      <c r="L73" s="15" t="str">
        <f>IF($B73="","",IF(AND(F73&gt;=ANALYSIS!$B$5,G73&lt;=ANALYSIS!$B$6),"Yes","No"))</f>
        <v/>
      </c>
      <c r="M73" s="15" t="str">
        <f t="shared" si="3"/>
        <v/>
      </c>
      <c r="N73" t="str" cm="1">
        <f t="array" ref="N73">IF($B73="","",_xlfn.TEXTJOIN(", ",TRUE,IF(ANALYSIS!$O$31:$O$130=$B73,ANALYSIS!$B$31:$B$130,"")))</f>
        <v/>
      </c>
    </row>
    <row r="74" spans="1:14" x14ac:dyDescent="0.25">
      <c r="A74" s="18" t="str">
        <f t="shared" si="0"/>
        <v/>
      </c>
      <c r="C74" s="13" t="str">
        <f>IF($B74="","",_xlfn.MINIFS(ANALYSIS!$M$31:$M$130,ANALYSIS!$O$31:$O$130,$B74))</f>
        <v/>
      </c>
      <c r="D74" s="13" t="str">
        <f>IF($B74="","",_xlfn.MINIFS(ANALYSIS!$N$31:$N$130,ANALYSIS!$O$31:$O$130,$B74))</f>
        <v/>
      </c>
      <c r="E74" s="20" t="str">
        <f>IF($B74="","",COUNTIF(ANALYSIS!$O$31:$O$130,$B74))</f>
        <v/>
      </c>
      <c r="F74" s="12" t="str">
        <f>IF($B74="","",_xlfn.MINIFS(ANALYSIS!$E$31:$E$130,ANALYSIS!$O$31:$O$130,$B74))</f>
        <v/>
      </c>
      <c r="G74" s="12" t="str">
        <f>IF($B74="","",_xlfn.MAXIFS(ANALYSIS!$E$31:$E$130,ANALYSIS!$O$31:$O$130,$B74))</f>
        <v/>
      </c>
      <c r="H74" s="12" t="str">
        <f t="shared" si="1"/>
        <v/>
      </c>
      <c r="I74" s="12" t="str">
        <f>IF($B74="","",_xlfn.MINIFS(ANALYSIS!$G$31:$G$130,ANALYSIS!$O$31:$O$130,$B74))</f>
        <v/>
      </c>
      <c r="J74" s="12" t="str">
        <f>IF($B74="","",_xlfn.MAXIFS(ANALYSIS!$G$31:$G$130,ANALYSIS!$O$31:$O$130,$B74))</f>
        <v/>
      </c>
      <c r="K74" s="12" t="str">
        <f t="shared" si="2"/>
        <v/>
      </c>
      <c r="L74" s="15" t="str">
        <f>IF($B74="","",IF(AND(F74&gt;=ANALYSIS!$B$5,G74&lt;=ANALYSIS!$B$6),"Yes","No"))</f>
        <v/>
      </c>
      <c r="M74" s="15" t="str">
        <f t="shared" si="3"/>
        <v/>
      </c>
      <c r="N74" t="str" cm="1">
        <f t="array" ref="N74">IF($B74="","",_xlfn.TEXTJOIN(", ",TRUE,IF(ANALYSIS!$O$31:$O$130=$B74,ANALYSIS!$B$31:$B$130,"")))</f>
        <v/>
      </c>
    </row>
    <row r="75" spans="1:14" x14ac:dyDescent="0.25">
      <c r="A75" s="18" t="str">
        <f t="shared" si="0"/>
        <v/>
      </c>
      <c r="C75" s="13" t="str">
        <f>IF($B75="","",_xlfn.MINIFS(ANALYSIS!$M$31:$M$130,ANALYSIS!$O$31:$O$130,$B75))</f>
        <v/>
      </c>
      <c r="D75" s="13" t="str">
        <f>IF($B75="","",_xlfn.MINIFS(ANALYSIS!$N$31:$N$130,ANALYSIS!$O$31:$O$130,$B75))</f>
        <v/>
      </c>
      <c r="E75" s="20" t="str">
        <f>IF($B75="","",COUNTIF(ANALYSIS!$O$31:$O$130,$B75))</f>
        <v/>
      </c>
      <c r="F75" s="12" t="str">
        <f>IF($B75="","",_xlfn.MINIFS(ANALYSIS!$E$31:$E$130,ANALYSIS!$O$31:$O$130,$B75))</f>
        <v/>
      </c>
      <c r="G75" s="12" t="str">
        <f>IF($B75="","",_xlfn.MAXIFS(ANALYSIS!$E$31:$E$130,ANALYSIS!$O$31:$O$130,$B75))</f>
        <v/>
      </c>
      <c r="H75" s="12" t="str">
        <f t="shared" si="1"/>
        <v/>
      </c>
      <c r="I75" s="12" t="str">
        <f>IF($B75="","",_xlfn.MINIFS(ANALYSIS!$G$31:$G$130,ANALYSIS!$O$31:$O$130,$B75))</f>
        <v/>
      </c>
      <c r="J75" s="12" t="str">
        <f>IF($B75="","",_xlfn.MAXIFS(ANALYSIS!$G$31:$G$130,ANALYSIS!$O$31:$O$130,$B75))</f>
        <v/>
      </c>
      <c r="K75" s="12" t="str">
        <f t="shared" si="2"/>
        <v/>
      </c>
      <c r="L75" s="15" t="str">
        <f>IF($B75="","",IF(AND(F75&gt;=ANALYSIS!$B$5,G75&lt;=ANALYSIS!$B$6),"Yes","No"))</f>
        <v/>
      </c>
      <c r="M75" s="15" t="str">
        <f t="shared" si="3"/>
        <v/>
      </c>
      <c r="N75" t="str" cm="1">
        <f t="array" ref="N75">IF($B75="","",_xlfn.TEXTJOIN(", ",TRUE,IF(ANALYSIS!$O$31:$O$130=$B75,ANALYSIS!$B$31:$B$130,"")))</f>
        <v/>
      </c>
    </row>
    <row r="76" spans="1:14" x14ac:dyDescent="0.25">
      <c r="A76" s="18" t="str">
        <f t="shared" si="0"/>
        <v/>
      </c>
      <c r="C76" s="13" t="str">
        <f>IF($B76="","",_xlfn.MINIFS(ANALYSIS!$M$31:$M$130,ANALYSIS!$O$31:$O$130,$B76))</f>
        <v/>
      </c>
      <c r="D76" s="13" t="str">
        <f>IF($B76="","",_xlfn.MINIFS(ANALYSIS!$N$31:$N$130,ANALYSIS!$O$31:$O$130,$B76))</f>
        <v/>
      </c>
      <c r="E76" s="20" t="str">
        <f>IF($B76="","",COUNTIF(ANALYSIS!$O$31:$O$130,$B76))</f>
        <v/>
      </c>
      <c r="F76" s="12" t="str">
        <f>IF($B76="","",_xlfn.MINIFS(ANALYSIS!$E$31:$E$130,ANALYSIS!$O$31:$O$130,$B76))</f>
        <v/>
      </c>
      <c r="G76" s="12" t="str">
        <f>IF($B76="","",_xlfn.MAXIFS(ANALYSIS!$E$31:$E$130,ANALYSIS!$O$31:$O$130,$B76))</f>
        <v/>
      </c>
      <c r="H76" s="12" t="str">
        <f t="shared" si="1"/>
        <v/>
      </c>
      <c r="I76" s="12" t="str">
        <f>IF($B76="","",_xlfn.MINIFS(ANALYSIS!$G$31:$G$130,ANALYSIS!$O$31:$O$130,$B76))</f>
        <v/>
      </c>
      <c r="J76" s="12" t="str">
        <f>IF($B76="","",_xlfn.MAXIFS(ANALYSIS!$G$31:$G$130,ANALYSIS!$O$31:$O$130,$B76))</f>
        <v/>
      </c>
      <c r="K76" s="12" t="str">
        <f t="shared" si="2"/>
        <v/>
      </c>
      <c r="L76" s="15" t="str">
        <f>IF($B76="","",IF(AND(F76&gt;=ANALYSIS!$B$5,G76&lt;=ANALYSIS!$B$6),"Yes","No"))</f>
        <v/>
      </c>
      <c r="M76" s="15" t="str">
        <f t="shared" si="3"/>
        <v/>
      </c>
      <c r="N76" t="str" cm="1">
        <f t="array" ref="N76">IF($B76="","",_xlfn.TEXTJOIN(", ",TRUE,IF(ANALYSIS!$O$31:$O$130=$B76,ANALYSIS!$B$31:$B$130,"")))</f>
        <v/>
      </c>
    </row>
    <row r="77" spans="1:14" x14ac:dyDescent="0.25">
      <c r="A77" s="18" t="str">
        <f t="shared" si="0"/>
        <v/>
      </c>
      <c r="C77" s="13" t="str">
        <f>IF($B77="","",_xlfn.MINIFS(ANALYSIS!$M$31:$M$130,ANALYSIS!$O$31:$O$130,$B77))</f>
        <v/>
      </c>
      <c r="D77" s="13" t="str">
        <f>IF($B77="","",_xlfn.MINIFS(ANALYSIS!$N$31:$N$130,ANALYSIS!$O$31:$O$130,$B77))</f>
        <v/>
      </c>
      <c r="E77" s="20" t="str">
        <f>IF($B77="","",COUNTIF(ANALYSIS!$O$31:$O$130,$B77))</f>
        <v/>
      </c>
      <c r="F77" s="12" t="str">
        <f>IF($B77="","",_xlfn.MINIFS(ANALYSIS!$E$31:$E$130,ANALYSIS!$O$31:$O$130,$B77))</f>
        <v/>
      </c>
      <c r="G77" s="12" t="str">
        <f>IF($B77="","",_xlfn.MAXIFS(ANALYSIS!$E$31:$E$130,ANALYSIS!$O$31:$O$130,$B77))</f>
        <v/>
      </c>
      <c r="H77" s="12" t="str">
        <f t="shared" si="1"/>
        <v/>
      </c>
      <c r="I77" s="12" t="str">
        <f>IF($B77="","",_xlfn.MINIFS(ANALYSIS!$G$31:$G$130,ANALYSIS!$O$31:$O$130,$B77))</f>
        <v/>
      </c>
      <c r="J77" s="12" t="str">
        <f>IF($B77="","",_xlfn.MAXIFS(ANALYSIS!$G$31:$G$130,ANALYSIS!$O$31:$O$130,$B77))</f>
        <v/>
      </c>
      <c r="K77" s="12" t="str">
        <f t="shared" si="2"/>
        <v/>
      </c>
      <c r="L77" s="15" t="str">
        <f>IF($B77="","",IF(AND(F77&gt;=ANALYSIS!$B$5,G77&lt;=ANALYSIS!$B$6),"Yes","No"))</f>
        <v/>
      </c>
      <c r="M77" s="15" t="str">
        <f t="shared" si="3"/>
        <v/>
      </c>
      <c r="N77" t="str" cm="1">
        <f t="array" ref="N77">IF($B77="","",_xlfn.TEXTJOIN(", ",TRUE,IF(ANALYSIS!$O$31:$O$130=$B77,ANALYSIS!$B$31:$B$130,"")))</f>
        <v/>
      </c>
    </row>
    <row r="78" spans="1:14" x14ac:dyDescent="0.25">
      <c r="A78" s="18" t="str">
        <f t="shared" si="0"/>
        <v/>
      </c>
      <c r="C78" s="13" t="str">
        <f>IF($B78="","",_xlfn.MINIFS(ANALYSIS!$M$31:$M$130,ANALYSIS!$O$31:$O$130,$B78))</f>
        <v/>
      </c>
      <c r="D78" s="13" t="str">
        <f>IF($B78="","",_xlfn.MINIFS(ANALYSIS!$N$31:$N$130,ANALYSIS!$O$31:$O$130,$B78))</f>
        <v/>
      </c>
      <c r="E78" s="20" t="str">
        <f>IF($B78="","",COUNTIF(ANALYSIS!$O$31:$O$130,$B78))</f>
        <v/>
      </c>
      <c r="F78" s="12" t="str">
        <f>IF($B78="","",_xlfn.MINIFS(ANALYSIS!$E$31:$E$130,ANALYSIS!$O$31:$O$130,$B78))</f>
        <v/>
      </c>
      <c r="G78" s="12" t="str">
        <f>IF($B78="","",_xlfn.MAXIFS(ANALYSIS!$E$31:$E$130,ANALYSIS!$O$31:$O$130,$B78))</f>
        <v/>
      </c>
      <c r="H78" s="12" t="str">
        <f t="shared" si="1"/>
        <v/>
      </c>
      <c r="I78" s="12" t="str">
        <f>IF($B78="","",_xlfn.MINIFS(ANALYSIS!$G$31:$G$130,ANALYSIS!$O$31:$O$130,$B78))</f>
        <v/>
      </c>
      <c r="J78" s="12" t="str">
        <f>IF($B78="","",_xlfn.MAXIFS(ANALYSIS!$G$31:$G$130,ANALYSIS!$O$31:$O$130,$B78))</f>
        <v/>
      </c>
      <c r="K78" s="12" t="str">
        <f t="shared" si="2"/>
        <v/>
      </c>
      <c r="L78" s="15" t="str">
        <f>IF($B78="","",IF(AND(F78&gt;=ANALYSIS!$B$5,G78&lt;=ANALYSIS!$B$6),"Yes","No"))</f>
        <v/>
      </c>
      <c r="M78" s="15" t="str">
        <f t="shared" si="3"/>
        <v/>
      </c>
      <c r="N78" t="str" cm="1">
        <f t="array" ref="N78">IF($B78="","",_xlfn.TEXTJOIN(", ",TRUE,IF(ANALYSIS!$O$31:$O$130=$B78,ANALYSIS!$B$31:$B$130,"")))</f>
        <v/>
      </c>
    </row>
    <row r="79" spans="1:14" x14ac:dyDescent="0.25">
      <c r="A79" s="18" t="str">
        <f t="shared" si="0"/>
        <v/>
      </c>
      <c r="C79" s="13" t="str">
        <f>IF($B79="","",_xlfn.MINIFS(ANALYSIS!$M$31:$M$130,ANALYSIS!$O$31:$O$130,$B79))</f>
        <v/>
      </c>
      <c r="D79" s="13" t="str">
        <f>IF($B79="","",_xlfn.MINIFS(ANALYSIS!$N$31:$N$130,ANALYSIS!$O$31:$O$130,$B79))</f>
        <v/>
      </c>
      <c r="E79" s="20" t="str">
        <f>IF($B79="","",COUNTIF(ANALYSIS!$O$31:$O$130,$B79))</f>
        <v/>
      </c>
      <c r="F79" s="12" t="str">
        <f>IF($B79="","",_xlfn.MINIFS(ANALYSIS!$E$31:$E$130,ANALYSIS!$O$31:$O$130,$B79))</f>
        <v/>
      </c>
      <c r="G79" s="12" t="str">
        <f>IF($B79="","",_xlfn.MAXIFS(ANALYSIS!$E$31:$E$130,ANALYSIS!$O$31:$O$130,$B79))</f>
        <v/>
      </c>
      <c r="H79" s="12" t="str">
        <f t="shared" si="1"/>
        <v/>
      </c>
      <c r="I79" s="12" t="str">
        <f>IF($B79="","",_xlfn.MINIFS(ANALYSIS!$G$31:$G$130,ANALYSIS!$O$31:$O$130,$B79))</f>
        <v/>
      </c>
      <c r="J79" s="12" t="str">
        <f>IF($B79="","",_xlfn.MAXIFS(ANALYSIS!$G$31:$G$130,ANALYSIS!$O$31:$O$130,$B79))</f>
        <v/>
      </c>
      <c r="K79" s="12" t="str">
        <f t="shared" si="2"/>
        <v/>
      </c>
      <c r="L79" s="15" t="str">
        <f>IF($B79="","",IF(AND(F79&gt;=ANALYSIS!$B$5,G79&lt;=ANALYSIS!$B$6),"Yes","No"))</f>
        <v/>
      </c>
      <c r="M79" s="15" t="str">
        <f t="shared" si="3"/>
        <v/>
      </c>
      <c r="N79" t="str" cm="1">
        <f t="array" ref="N79">IF($B79="","",_xlfn.TEXTJOIN(", ",TRUE,IF(ANALYSIS!$O$31:$O$130=$B79,ANALYSIS!$B$31:$B$130,"")))</f>
        <v/>
      </c>
    </row>
    <row r="80" spans="1:14" x14ac:dyDescent="0.25">
      <c r="A80" s="18" t="str">
        <f t="shared" ref="A80" si="4">IF($B80="","",ROW()-14)</f>
        <v/>
      </c>
      <c r="C80" s="13" t="str">
        <f>IF($B80="","",_xlfn.MINIFS(ANALYSIS!$M$31:$M$130,ANALYSIS!$O$31:$O$130,$B80))</f>
        <v/>
      </c>
      <c r="D80" s="13" t="str">
        <f>IF($B80="","",_xlfn.MINIFS(ANALYSIS!$N$31:$N$130,ANALYSIS!$O$31:$O$130,$B80))</f>
        <v/>
      </c>
      <c r="E80" s="20" t="str">
        <f>IF($B80="","",COUNTIF(ANALYSIS!$O$31:$O$130,$B80))</f>
        <v/>
      </c>
      <c r="F80" s="12" t="str">
        <f>IF($B80="","",_xlfn.MINIFS(ANALYSIS!$E$31:$E$130,ANALYSIS!$O$31:$O$130,$B80))</f>
        <v/>
      </c>
      <c r="G80" s="12" t="str">
        <f>IF($B80="","",_xlfn.MAXIFS(ANALYSIS!$E$31:$E$130,ANALYSIS!$O$31:$O$130,$B80))</f>
        <v/>
      </c>
      <c r="H80" s="12" t="str">
        <f t="shared" ref="H80" si="5">IF($B80="","",G80-F80)</f>
        <v/>
      </c>
      <c r="I80" s="12" t="str">
        <f>IF($B80="","",_xlfn.MINIFS(ANALYSIS!$G$31:$G$130,ANALYSIS!$O$31:$O$130,$B80))</f>
        <v/>
      </c>
      <c r="J80" s="12" t="str">
        <f>IF($B80="","",_xlfn.MAXIFS(ANALYSIS!$G$31:$G$130,ANALYSIS!$O$31:$O$130,$B80))</f>
        <v/>
      </c>
      <c r="K80" s="12" t="str">
        <f t="shared" ref="K80" si="6">IF($B80="","",J80-I80)</f>
        <v/>
      </c>
      <c r="L80" s="15" t="str">
        <f>IF($B80="","",IF(AND(F80&gt;=ANALYSIS!$B$5,G80&lt;=ANALYSIS!$B$6),"Yes","No"))</f>
        <v/>
      </c>
      <c r="M80" s="15" t="str">
        <f t="shared" ref="M80" si="7">IF($B80="","",IF(E80&gt;=$B$8,"Yes","No"))</f>
        <v/>
      </c>
      <c r="N80" t="str" cm="1">
        <f t="array" ref="N80">IF($B80="","",_xlfn.TEXTJOIN(", ",TRUE,IF(ANALYSIS!$O$31:$O$130=$B80,ANALYSIS!$B$31:$B$130,"")))</f>
        <v/>
      </c>
    </row>
    <row r="81" spans="1:16" ht="15.75" x14ac:dyDescent="0.25">
      <c r="A81" s="28" t="s">
        <v>183</v>
      </c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30"/>
    </row>
    <row r="82" spans="1:16" x14ac:dyDescent="0.25">
      <c r="A82" s="31" t="s">
        <v>181</v>
      </c>
      <c r="B82" s="32">
        <f>FLOOR(MIN(ANALYSIS!$G$31:$G$130),$B$7)</f>
        <v>21</v>
      </c>
      <c r="C82" s="32">
        <f>IF(B82="","",IF(B82+$B$7&gt;FLOOR(MAX(ANALYSIS!$G$31:$G$130),$B$7),"",B82+$B$7))</f>
        <v>21.5</v>
      </c>
      <c r="D82" s="32">
        <f>IF(C82="","",IF(C82+$B$7&gt;FLOOR(MAX(ANALYSIS!$G$31:$G$130),$B$7),"",C82+$B$7))</f>
        <v>22</v>
      </c>
      <c r="E82" s="32">
        <f>IF(D82="","",IF(D82+$B$7&gt;FLOOR(MAX(ANALYSIS!$G$31:$G$130),$B$7),"",D82+$B$7))</f>
        <v>22.5</v>
      </c>
      <c r="F82" s="32">
        <f>IF(E82="","",IF(E82+$B$7&gt;FLOOR(MAX(ANALYSIS!$G$31:$G$130),$B$7),"",E82+$B$7))</f>
        <v>23</v>
      </c>
      <c r="G82" s="32">
        <f>IF(F82="","",IF(F82+$B$7&gt;FLOOR(MAX(ANALYSIS!$G$31:$G$130),$B$7),"",F82+$B$7))</f>
        <v>23.5</v>
      </c>
      <c r="H82" s="32">
        <f>IF(G82="","",IF(G82+$B$7&gt;FLOOR(MAX(ANALYSIS!$G$31:$G$130),$B$7),"",G82+$B$7))</f>
        <v>24</v>
      </c>
      <c r="I82" s="32">
        <f>IF(H82="","",IF(H82+$B$7&gt;FLOOR(MAX(ANALYSIS!$G$31:$G$130),$B$7),"",H82+$B$7))</f>
        <v>24.5</v>
      </c>
      <c r="J82" s="32">
        <f>IF(I82="","",IF(I82+$B$7&gt;FLOOR(MAX(ANALYSIS!$G$31:$G$130),$B$7),"",I82+$B$7))</f>
        <v>25</v>
      </c>
      <c r="K82" s="32">
        <f>IF(J82="","",IF(J82+$B$7&gt;FLOOR(MAX(ANALYSIS!$G$31:$G$130),$B$7),"",J82+$B$7))</f>
        <v>25.5</v>
      </c>
      <c r="L82" s="32">
        <f>IF(K82="","",IF(K82+$B$7&gt;FLOOR(MAX(ANALYSIS!$G$31:$G$130),$B$7),"",K82+$B$7))</f>
        <v>26</v>
      </c>
      <c r="M82" s="32">
        <f>IF(L82="","",IF(L82+$B$7&gt;FLOOR(MAX(ANALYSIS!$G$31:$G$130),$B$7),"",L82+$B$7))</f>
        <v>26.5</v>
      </c>
      <c r="N82" s="32" t="str">
        <f>IF(M82="","",IF(M82+$B$7&gt;FLOOR(MAX(ANALYSIS!$G$31:$G$130),$B$7),"",M82+$B$7))</f>
        <v/>
      </c>
      <c r="O82" s="32" t="str">
        <f>IF(N82="","",IF(N82+$B$7&gt;FLOOR(MAX(ANALYSIS!$G$31:$G$130),$B$7),"",N82+$B$7))</f>
        <v/>
      </c>
      <c r="P82" s="33" t="s">
        <v>182</v>
      </c>
    </row>
    <row r="83" spans="1:16" x14ac:dyDescent="0.25">
      <c r="A83" s="34">
        <f>FLOOR(MIN(ANALYSIS!$E$31:$E$130),$B$6)</f>
        <v>48</v>
      </c>
      <c r="B83" s="35">
        <f>IF(OR($A83="",B$82=""),"",COUNTIFS(ANALYSIS!$M$31:$M$130,$A83,ANALYSIS!$N$31:$N$130,B$82))</f>
        <v>0</v>
      </c>
      <c r="C83" s="35">
        <f>IF(OR($A83="",C$82=""),"",COUNTIFS(ANALYSIS!$M$31:$M$130,$A83,ANALYSIS!$N$31:$N$130,C$82))</f>
        <v>0</v>
      </c>
      <c r="D83" s="35">
        <f>IF(OR($A83="",D$82=""),"",COUNTIFS(ANALYSIS!$M$31:$M$130,$A83,ANALYSIS!$N$31:$N$130,D$82))</f>
        <v>0</v>
      </c>
      <c r="E83" s="35">
        <f>IF(OR($A83="",E$82=""),"",COUNTIFS(ANALYSIS!$M$31:$M$130,$A83,ANALYSIS!$N$31:$N$130,E$82))</f>
        <v>1</v>
      </c>
      <c r="F83" s="35">
        <f>IF(OR($A83="",F$82=""),"",COUNTIFS(ANALYSIS!$M$31:$M$130,$A83,ANALYSIS!$N$31:$N$130,F$82))</f>
        <v>0</v>
      </c>
      <c r="G83" s="35">
        <f>IF(OR($A83="",G$82=""),"",COUNTIFS(ANALYSIS!$M$31:$M$130,$A83,ANALYSIS!$N$31:$N$130,G$82))</f>
        <v>0</v>
      </c>
      <c r="H83" s="35">
        <f>IF(OR($A83="",H$82=""),"",COUNTIFS(ANALYSIS!$M$31:$M$130,$A83,ANALYSIS!$N$31:$N$130,H$82))</f>
        <v>0</v>
      </c>
      <c r="I83" s="35">
        <f>IF(OR($A83="",I$82=""),"",COUNTIFS(ANALYSIS!$M$31:$M$130,$A83,ANALYSIS!$N$31:$N$130,I$82))</f>
        <v>0</v>
      </c>
      <c r="J83" s="35">
        <f>IF(OR($A83="",J$82=""),"",COUNTIFS(ANALYSIS!$M$31:$M$130,$A83,ANALYSIS!$N$31:$N$130,J$82))</f>
        <v>0</v>
      </c>
      <c r="K83" s="35">
        <f>IF(OR($A83="",K$82=""),"",COUNTIFS(ANALYSIS!$M$31:$M$130,$A83,ANALYSIS!$N$31:$N$130,K$82))</f>
        <v>0</v>
      </c>
      <c r="L83" s="35">
        <f>IF(OR($A83="",L$82=""),"",COUNTIFS(ANALYSIS!$M$31:$M$130,$A83,ANALYSIS!$N$31:$N$130,L$82))</f>
        <v>0</v>
      </c>
      <c r="M83" s="35">
        <f>IF(OR($A83="",M$82=""),"",COUNTIFS(ANALYSIS!$M$31:$M$130,$A83,ANALYSIS!$N$31:$N$130,M$82))</f>
        <v>0</v>
      </c>
      <c r="N83" s="35" t="str">
        <f>IF(OR($A83="",N$82=""),"",COUNTIFS(ANALYSIS!$M$31:$M$130,$A83,ANALYSIS!$N$31:$N$130,N$82))</f>
        <v/>
      </c>
      <c r="O83" s="35" t="str">
        <f>IF(OR($A83="",O$82=""),"",COUNTIFS(ANALYSIS!$M$31:$M$130,$A83,ANALYSIS!$N$31:$N$130,O$82))</f>
        <v/>
      </c>
      <c r="P83" s="36">
        <f>IF($A83="","",SUM(B83:O83))</f>
        <v>1</v>
      </c>
    </row>
    <row r="84" spans="1:16" x14ac:dyDescent="0.25">
      <c r="A84" s="34">
        <f>IF(A83="","",IF(A83+$B$6&gt;FLOOR(MAX(ANALYSIS!$E$31:$E$130),$B$6),"",A83+$B$6))</f>
        <v>51</v>
      </c>
      <c r="B84" s="35">
        <f>IF(OR($A84="",B$82=""),"",COUNTIFS(ANALYSIS!$M$31:$M$130,$A84,ANALYSIS!$N$31:$N$130,B$82))</f>
        <v>1</v>
      </c>
      <c r="C84" s="35">
        <f>IF(OR($A84="",C$82=""),"",COUNTIFS(ANALYSIS!$M$31:$M$130,$A84,ANALYSIS!$N$31:$N$130,C$82))</f>
        <v>6</v>
      </c>
      <c r="D84" s="35">
        <f>IF(OR($A84="",D$82=""),"",COUNTIFS(ANALYSIS!$M$31:$M$130,$A84,ANALYSIS!$N$31:$N$130,D$82))</f>
        <v>4</v>
      </c>
      <c r="E84" s="35">
        <f>IF(OR($A84="",E$82=""),"",COUNTIFS(ANALYSIS!$M$31:$M$130,$A84,ANALYSIS!$N$31:$N$130,E$82))</f>
        <v>2</v>
      </c>
      <c r="F84" s="35">
        <f>IF(OR($A84="",F$82=""),"",COUNTIFS(ANALYSIS!$M$31:$M$130,$A84,ANALYSIS!$N$31:$N$130,F$82))</f>
        <v>5</v>
      </c>
      <c r="G84" s="35">
        <f>IF(OR($A84="",G$82=""),"",COUNTIFS(ANALYSIS!$M$31:$M$130,$A84,ANALYSIS!$N$31:$N$130,G$82))</f>
        <v>2</v>
      </c>
      <c r="H84" s="35">
        <f>IF(OR($A84="",H$82=""),"",COUNTIFS(ANALYSIS!$M$31:$M$130,$A84,ANALYSIS!$N$31:$N$130,H$82))</f>
        <v>2</v>
      </c>
      <c r="I84" s="35">
        <f>IF(OR($A84="",I$82=""),"",COUNTIFS(ANALYSIS!$M$31:$M$130,$A84,ANALYSIS!$N$31:$N$130,I$82))</f>
        <v>0</v>
      </c>
      <c r="J84" s="35">
        <f>IF(OR($A84="",J$82=""),"",COUNTIFS(ANALYSIS!$M$31:$M$130,$A84,ANALYSIS!$N$31:$N$130,J$82))</f>
        <v>1</v>
      </c>
      <c r="K84" s="35">
        <f>IF(OR($A84="",K$82=""),"",COUNTIFS(ANALYSIS!$M$31:$M$130,$A84,ANALYSIS!$N$31:$N$130,K$82))</f>
        <v>1</v>
      </c>
      <c r="L84" s="35">
        <f>IF(OR($A84="",L$82=""),"",COUNTIFS(ANALYSIS!$M$31:$M$130,$A84,ANALYSIS!$N$31:$N$130,L$82))</f>
        <v>0</v>
      </c>
      <c r="M84" s="35">
        <f>IF(OR($A84="",M$82=""),"",COUNTIFS(ANALYSIS!$M$31:$M$130,$A84,ANALYSIS!$N$31:$N$130,M$82))</f>
        <v>0</v>
      </c>
      <c r="N84" s="35" t="str">
        <f>IF(OR($A84="",N$82=""),"",COUNTIFS(ANALYSIS!$M$31:$M$130,$A84,ANALYSIS!$N$31:$N$130,N$82))</f>
        <v/>
      </c>
      <c r="O84" s="35" t="str">
        <f>IF(OR($A84="",O$82=""),"",COUNTIFS(ANALYSIS!$M$31:$M$130,$A84,ANALYSIS!$N$31:$N$130,O$82))</f>
        <v/>
      </c>
      <c r="P84" s="36">
        <f t="shared" ref="P84:P92" si="8">IF($A84="","",SUM(B84:O84))</f>
        <v>24</v>
      </c>
    </row>
    <row r="85" spans="1:16" x14ac:dyDescent="0.25">
      <c r="A85" s="34">
        <f>IF(A84="","",IF(A84+$B$6&gt;FLOOR(MAX(ANALYSIS!$E$31:$E$130),$B$6),"",A84+$B$6))</f>
        <v>54</v>
      </c>
      <c r="B85" s="35">
        <f>IF(OR($A85="",B$82=""),"",COUNTIFS(ANALYSIS!$M$31:$M$130,$A85,ANALYSIS!$N$31:$N$130,B$82))</f>
        <v>2</v>
      </c>
      <c r="C85" s="35">
        <f>IF(OR($A85="",C$82=""),"",COUNTIFS(ANALYSIS!$M$31:$M$130,$A85,ANALYSIS!$N$31:$N$130,C$82))</f>
        <v>4</v>
      </c>
      <c r="D85" s="35">
        <f>IF(OR($A85="",D$82=""),"",COUNTIFS(ANALYSIS!$M$31:$M$130,$A85,ANALYSIS!$N$31:$N$130,D$82))</f>
        <v>5</v>
      </c>
      <c r="E85" s="35">
        <f>IF(OR($A85="",E$82=""),"",COUNTIFS(ANALYSIS!$M$31:$M$130,$A85,ANALYSIS!$N$31:$N$130,E$82))</f>
        <v>4</v>
      </c>
      <c r="F85" s="35">
        <f>IF(OR($A85="",F$82=""),"",COUNTIFS(ANALYSIS!$M$31:$M$130,$A85,ANALYSIS!$N$31:$N$130,F$82))</f>
        <v>9</v>
      </c>
      <c r="G85" s="35">
        <f>IF(OR($A85="",G$82=""),"",COUNTIFS(ANALYSIS!$M$31:$M$130,$A85,ANALYSIS!$N$31:$N$130,G$82))</f>
        <v>10</v>
      </c>
      <c r="H85" s="35">
        <f>IF(OR($A85="",H$82=""),"",COUNTIFS(ANALYSIS!$M$31:$M$130,$A85,ANALYSIS!$N$31:$N$130,H$82))</f>
        <v>5</v>
      </c>
      <c r="I85" s="35">
        <f>IF(OR($A85="",I$82=""),"",COUNTIFS(ANALYSIS!$M$31:$M$130,$A85,ANALYSIS!$N$31:$N$130,I$82))</f>
        <v>2</v>
      </c>
      <c r="J85" s="35">
        <f>IF(OR($A85="",J$82=""),"",COUNTIFS(ANALYSIS!$M$31:$M$130,$A85,ANALYSIS!$N$31:$N$130,J$82))</f>
        <v>6</v>
      </c>
      <c r="K85" s="35">
        <f>IF(OR($A85="",K$82=""),"",COUNTIFS(ANALYSIS!$M$31:$M$130,$A85,ANALYSIS!$N$31:$N$130,K$82))</f>
        <v>5</v>
      </c>
      <c r="L85" s="35">
        <f>IF(OR($A85="",L$82=""),"",COUNTIFS(ANALYSIS!$M$31:$M$130,$A85,ANALYSIS!$N$31:$N$130,L$82))</f>
        <v>0</v>
      </c>
      <c r="M85" s="35">
        <f>IF(OR($A85="",M$82=""),"",COUNTIFS(ANALYSIS!$M$31:$M$130,$A85,ANALYSIS!$N$31:$N$130,M$82))</f>
        <v>0</v>
      </c>
      <c r="N85" s="35" t="str">
        <f>IF(OR($A85="",N$82=""),"",COUNTIFS(ANALYSIS!$M$31:$M$130,$A85,ANALYSIS!$N$31:$N$130,N$82))</f>
        <v/>
      </c>
      <c r="O85" s="35" t="str">
        <f>IF(OR($A85="",O$82=""),"",COUNTIFS(ANALYSIS!$M$31:$M$130,$A85,ANALYSIS!$N$31:$N$130,O$82))</f>
        <v/>
      </c>
      <c r="P85" s="36">
        <f t="shared" si="8"/>
        <v>52</v>
      </c>
    </row>
    <row r="86" spans="1:16" x14ac:dyDescent="0.25">
      <c r="A86" s="34">
        <f>IF(A85="","",IF(A85+$B$6&gt;FLOOR(MAX(ANALYSIS!$E$31:$E$130),$B$6),"",A85+$B$6))</f>
        <v>57</v>
      </c>
      <c r="B86" s="35">
        <f>IF(OR($A86="",B$82=""),"",COUNTIFS(ANALYSIS!$M$31:$M$130,$A86,ANALYSIS!$N$31:$N$130,B$82))</f>
        <v>0</v>
      </c>
      <c r="C86" s="35">
        <f>IF(OR($A86="",C$82=""),"",COUNTIFS(ANALYSIS!$M$31:$M$130,$A86,ANALYSIS!$N$31:$N$130,C$82))</f>
        <v>1</v>
      </c>
      <c r="D86" s="35">
        <f>IF(OR($A86="",D$82=""),"",COUNTIFS(ANALYSIS!$M$31:$M$130,$A86,ANALYSIS!$N$31:$N$130,D$82))</f>
        <v>0</v>
      </c>
      <c r="E86" s="35">
        <f>IF(OR($A86="",E$82=""),"",COUNTIFS(ANALYSIS!$M$31:$M$130,$A86,ANALYSIS!$N$31:$N$130,E$82))</f>
        <v>1</v>
      </c>
      <c r="F86" s="35">
        <f>IF(OR($A86="",F$82=""),"",COUNTIFS(ANALYSIS!$M$31:$M$130,$A86,ANALYSIS!$N$31:$N$130,F$82))</f>
        <v>4</v>
      </c>
      <c r="G86" s="35">
        <f>IF(OR($A86="",G$82=""),"",COUNTIFS(ANALYSIS!$M$31:$M$130,$A86,ANALYSIS!$N$31:$N$130,G$82))</f>
        <v>4</v>
      </c>
      <c r="H86" s="35">
        <f>IF(OR($A86="",H$82=""),"",COUNTIFS(ANALYSIS!$M$31:$M$130,$A86,ANALYSIS!$N$31:$N$130,H$82))</f>
        <v>5</v>
      </c>
      <c r="I86" s="35">
        <f>IF(OR($A86="",I$82=""),"",COUNTIFS(ANALYSIS!$M$31:$M$130,$A86,ANALYSIS!$N$31:$N$130,I$82))</f>
        <v>2</v>
      </c>
      <c r="J86" s="35">
        <f>IF(OR($A86="",J$82=""),"",COUNTIFS(ANALYSIS!$M$31:$M$130,$A86,ANALYSIS!$N$31:$N$130,J$82))</f>
        <v>3</v>
      </c>
      <c r="K86" s="35">
        <f>IF(OR($A86="",K$82=""),"",COUNTIFS(ANALYSIS!$M$31:$M$130,$A86,ANALYSIS!$N$31:$N$130,K$82))</f>
        <v>0</v>
      </c>
      <c r="L86" s="35">
        <f>IF(OR($A86="",L$82=""),"",COUNTIFS(ANALYSIS!$M$31:$M$130,$A86,ANALYSIS!$N$31:$N$130,L$82))</f>
        <v>2</v>
      </c>
      <c r="M86" s="35">
        <f>IF(OR($A86="",M$82=""),"",COUNTIFS(ANALYSIS!$M$31:$M$130,$A86,ANALYSIS!$N$31:$N$130,M$82))</f>
        <v>1</v>
      </c>
      <c r="N86" s="35" t="str">
        <f>IF(OR($A86="",N$82=""),"",COUNTIFS(ANALYSIS!$M$31:$M$130,$A86,ANALYSIS!$N$31:$N$130,N$82))</f>
        <v/>
      </c>
      <c r="O86" s="35" t="str">
        <f>IF(OR($A86="",O$82=""),"",COUNTIFS(ANALYSIS!$M$31:$M$130,$A86,ANALYSIS!$N$31:$N$130,O$82))</f>
        <v/>
      </c>
      <c r="P86" s="36">
        <f t="shared" si="8"/>
        <v>23</v>
      </c>
    </row>
    <row r="87" spans="1:16" x14ac:dyDescent="0.25">
      <c r="A87" s="34" t="str">
        <f>IF(A86="","",IF(A86+$B$6&gt;FLOOR(MAX(ANALYSIS!$E$31:$E$130),$B$6),"",A86+$B$6))</f>
        <v/>
      </c>
      <c r="B87" s="35" t="str">
        <f>IF(OR($A87="",B$82=""),"",COUNTIFS(ANALYSIS!$M$31:$M$130,$A87,ANALYSIS!$N$31:$N$130,B$82))</f>
        <v/>
      </c>
      <c r="C87" s="35" t="str">
        <f>IF(OR($A87="",C$82=""),"",COUNTIFS(ANALYSIS!$M$31:$M$130,$A87,ANALYSIS!$N$31:$N$130,C$82))</f>
        <v/>
      </c>
      <c r="D87" s="35" t="str">
        <f>IF(OR($A87="",D$82=""),"",COUNTIFS(ANALYSIS!$M$31:$M$130,$A87,ANALYSIS!$N$31:$N$130,D$82))</f>
        <v/>
      </c>
      <c r="E87" s="35" t="str">
        <f>IF(OR($A87="",E$82=""),"",COUNTIFS(ANALYSIS!$M$31:$M$130,$A87,ANALYSIS!$N$31:$N$130,E$82))</f>
        <v/>
      </c>
      <c r="F87" s="35" t="str">
        <f>IF(OR($A87="",F$82=""),"",COUNTIFS(ANALYSIS!$M$31:$M$130,$A87,ANALYSIS!$N$31:$N$130,F$82))</f>
        <v/>
      </c>
      <c r="G87" s="35" t="str">
        <f>IF(OR($A87="",G$82=""),"",COUNTIFS(ANALYSIS!$M$31:$M$130,$A87,ANALYSIS!$N$31:$N$130,G$82))</f>
        <v/>
      </c>
      <c r="H87" s="35" t="str">
        <f>IF(OR($A87="",H$82=""),"",COUNTIFS(ANALYSIS!$M$31:$M$130,$A87,ANALYSIS!$N$31:$N$130,H$82))</f>
        <v/>
      </c>
      <c r="I87" s="35" t="str">
        <f>IF(OR($A87="",I$82=""),"",COUNTIFS(ANALYSIS!$M$31:$M$130,$A87,ANALYSIS!$N$31:$N$130,I$82))</f>
        <v/>
      </c>
      <c r="J87" s="35" t="str">
        <f>IF(OR($A87="",J$82=""),"",COUNTIFS(ANALYSIS!$M$31:$M$130,$A87,ANALYSIS!$N$31:$N$130,J$82))</f>
        <v/>
      </c>
      <c r="K87" s="35" t="str">
        <f>IF(OR($A87="",K$82=""),"",COUNTIFS(ANALYSIS!$M$31:$M$130,$A87,ANALYSIS!$N$31:$N$130,K$82))</f>
        <v/>
      </c>
      <c r="L87" s="35" t="str">
        <f>IF(OR($A87="",L$82=""),"",COUNTIFS(ANALYSIS!$M$31:$M$130,$A87,ANALYSIS!$N$31:$N$130,L$82))</f>
        <v/>
      </c>
      <c r="M87" s="35" t="str">
        <f>IF(OR($A87="",M$82=""),"",COUNTIFS(ANALYSIS!$M$31:$M$130,$A87,ANALYSIS!$N$31:$N$130,M$82))</f>
        <v/>
      </c>
      <c r="N87" s="35" t="str">
        <f>IF(OR($A87="",N$82=""),"",COUNTIFS(ANALYSIS!$M$31:$M$130,$A87,ANALYSIS!$N$31:$N$130,N$82))</f>
        <v/>
      </c>
      <c r="O87" s="35" t="str">
        <f>IF(OR($A87="",O$82=""),"",COUNTIFS(ANALYSIS!$M$31:$M$130,$A87,ANALYSIS!$N$31:$N$130,O$82))</f>
        <v/>
      </c>
      <c r="P87" s="36" t="str">
        <f t="shared" si="8"/>
        <v/>
      </c>
    </row>
    <row r="88" spans="1:16" x14ac:dyDescent="0.25">
      <c r="A88" s="34" t="str">
        <f>IF(A87="","",IF(A87+$B$6&gt;FLOOR(MAX(ANALYSIS!$E$31:$E$130),$B$6),"",A87+$B$6))</f>
        <v/>
      </c>
      <c r="B88" s="35" t="str">
        <f>IF(OR($A88="",B$82=""),"",COUNTIFS(ANALYSIS!$M$31:$M$130,$A88,ANALYSIS!$N$31:$N$130,B$82))</f>
        <v/>
      </c>
      <c r="C88" s="35" t="str">
        <f>IF(OR($A88="",C$82=""),"",COUNTIFS(ANALYSIS!$M$31:$M$130,$A88,ANALYSIS!$N$31:$N$130,C$82))</f>
        <v/>
      </c>
      <c r="D88" s="35" t="str">
        <f>IF(OR($A88="",D$82=""),"",COUNTIFS(ANALYSIS!$M$31:$M$130,$A88,ANALYSIS!$N$31:$N$130,D$82))</f>
        <v/>
      </c>
      <c r="E88" s="35" t="str">
        <f>IF(OR($A88="",E$82=""),"",COUNTIFS(ANALYSIS!$M$31:$M$130,$A88,ANALYSIS!$N$31:$N$130,E$82))</f>
        <v/>
      </c>
      <c r="F88" s="35" t="str">
        <f>IF(OR($A88="",F$82=""),"",COUNTIFS(ANALYSIS!$M$31:$M$130,$A88,ANALYSIS!$N$31:$N$130,F$82))</f>
        <v/>
      </c>
      <c r="G88" s="35" t="str">
        <f>IF(OR($A88="",G$82=""),"",COUNTIFS(ANALYSIS!$M$31:$M$130,$A88,ANALYSIS!$N$31:$N$130,G$82))</f>
        <v/>
      </c>
      <c r="H88" s="35" t="str">
        <f>IF(OR($A88="",H$82=""),"",COUNTIFS(ANALYSIS!$M$31:$M$130,$A88,ANALYSIS!$N$31:$N$130,H$82))</f>
        <v/>
      </c>
      <c r="I88" s="35" t="str">
        <f>IF(OR($A88="",I$82=""),"",COUNTIFS(ANALYSIS!$M$31:$M$130,$A88,ANALYSIS!$N$31:$N$130,I$82))</f>
        <v/>
      </c>
      <c r="J88" s="35" t="str">
        <f>IF(OR($A88="",J$82=""),"",COUNTIFS(ANALYSIS!$M$31:$M$130,$A88,ANALYSIS!$N$31:$N$130,J$82))</f>
        <v/>
      </c>
      <c r="K88" s="35" t="str">
        <f>IF(OR($A88="",K$82=""),"",COUNTIFS(ANALYSIS!$M$31:$M$130,$A88,ANALYSIS!$N$31:$N$130,K$82))</f>
        <v/>
      </c>
      <c r="L88" s="35" t="str">
        <f>IF(OR($A88="",L$82=""),"",COUNTIFS(ANALYSIS!$M$31:$M$130,$A88,ANALYSIS!$N$31:$N$130,L$82))</f>
        <v/>
      </c>
      <c r="M88" s="35" t="str">
        <f>IF(OR($A88="",M$82=""),"",COUNTIFS(ANALYSIS!$M$31:$M$130,$A88,ANALYSIS!$N$31:$N$130,M$82))</f>
        <v/>
      </c>
      <c r="N88" s="35" t="str">
        <f>IF(OR($A88="",N$82=""),"",COUNTIFS(ANALYSIS!$M$31:$M$130,$A88,ANALYSIS!$N$31:$N$130,N$82))</f>
        <v/>
      </c>
      <c r="O88" s="35" t="str">
        <f>IF(OR($A88="",O$82=""),"",COUNTIFS(ANALYSIS!$M$31:$M$130,$A88,ANALYSIS!$N$31:$N$130,O$82))</f>
        <v/>
      </c>
      <c r="P88" s="36" t="str">
        <f t="shared" si="8"/>
        <v/>
      </c>
    </row>
    <row r="89" spans="1:16" x14ac:dyDescent="0.25">
      <c r="A89" s="34" t="str">
        <f>IF(A88="","",IF(A88+$B$6&gt;FLOOR(MAX(ANALYSIS!$E$31:$E$130),$B$6),"",A88+$B$6))</f>
        <v/>
      </c>
      <c r="B89" s="35" t="str">
        <f>IF(OR($A89="",B$82=""),"",COUNTIFS(ANALYSIS!$M$31:$M$130,$A89,ANALYSIS!$N$31:$N$130,B$82))</f>
        <v/>
      </c>
      <c r="C89" s="35" t="str">
        <f>IF(OR($A89="",C$82=""),"",COUNTIFS(ANALYSIS!$M$31:$M$130,$A89,ANALYSIS!$N$31:$N$130,C$82))</f>
        <v/>
      </c>
      <c r="D89" s="35" t="str">
        <f>IF(OR($A89="",D$82=""),"",COUNTIFS(ANALYSIS!$M$31:$M$130,$A89,ANALYSIS!$N$31:$N$130,D$82))</f>
        <v/>
      </c>
      <c r="E89" s="35" t="str">
        <f>IF(OR($A89="",E$82=""),"",COUNTIFS(ANALYSIS!$M$31:$M$130,$A89,ANALYSIS!$N$31:$N$130,E$82))</f>
        <v/>
      </c>
      <c r="F89" s="35" t="str">
        <f>IF(OR($A89="",F$82=""),"",COUNTIFS(ANALYSIS!$M$31:$M$130,$A89,ANALYSIS!$N$31:$N$130,F$82))</f>
        <v/>
      </c>
      <c r="G89" s="35" t="str">
        <f>IF(OR($A89="",G$82=""),"",COUNTIFS(ANALYSIS!$M$31:$M$130,$A89,ANALYSIS!$N$31:$N$130,G$82))</f>
        <v/>
      </c>
      <c r="H89" s="35" t="str">
        <f>IF(OR($A89="",H$82=""),"",COUNTIFS(ANALYSIS!$M$31:$M$130,$A89,ANALYSIS!$N$31:$N$130,H$82))</f>
        <v/>
      </c>
      <c r="I89" s="35" t="str">
        <f>IF(OR($A89="",I$82=""),"",COUNTIFS(ANALYSIS!$M$31:$M$130,$A89,ANALYSIS!$N$31:$N$130,I$82))</f>
        <v/>
      </c>
      <c r="J89" s="35" t="str">
        <f>IF(OR($A89="",J$82=""),"",COUNTIFS(ANALYSIS!$M$31:$M$130,$A89,ANALYSIS!$N$31:$N$130,J$82))</f>
        <v/>
      </c>
      <c r="K89" s="35" t="str">
        <f>IF(OR($A89="",K$82=""),"",COUNTIFS(ANALYSIS!$M$31:$M$130,$A89,ANALYSIS!$N$31:$N$130,K$82))</f>
        <v/>
      </c>
      <c r="L89" s="35" t="str">
        <f>IF(OR($A89="",L$82=""),"",COUNTIFS(ANALYSIS!$M$31:$M$130,$A89,ANALYSIS!$N$31:$N$130,L$82))</f>
        <v/>
      </c>
      <c r="M89" s="35" t="str">
        <f>IF(OR($A89="",M$82=""),"",COUNTIFS(ANALYSIS!$M$31:$M$130,$A89,ANALYSIS!$N$31:$N$130,M$82))</f>
        <v/>
      </c>
      <c r="N89" s="35" t="str">
        <f>IF(OR($A89="",N$82=""),"",COUNTIFS(ANALYSIS!$M$31:$M$130,$A89,ANALYSIS!$N$31:$N$130,N$82))</f>
        <v/>
      </c>
      <c r="O89" s="35" t="str">
        <f>IF(OR($A89="",O$82=""),"",COUNTIFS(ANALYSIS!$M$31:$M$130,$A89,ANALYSIS!$N$31:$N$130,O$82))</f>
        <v/>
      </c>
      <c r="P89" s="36" t="str">
        <f t="shared" si="8"/>
        <v/>
      </c>
    </row>
    <row r="90" spans="1:16" x14ac:dyDescent="0.25">
      <c r="A90" s="34" t="str">
        <f>IF(A89="","",IF(A89+$B$6&gt;FLOOR(MAX(ANALYSIS!$E$31:$E$130),$B$6),"",A89+$B$6))</f>
        <v/>
      </c>
      <c r="B90" s="35" t="str">
        <f>IF(OR($A90="",B$82=""),"",COUNTIFS(ANALYSIS!$M$31:$M$130,$A90,ANALYSIS!$N$31:$N$130,B$82))</f>
        <v/>
      </c>
      <c r="C90" s="35" t="str">
        <f>IF(OR($A90="",C$82=""),"",COUNTIFS(ANALYSIS!$M$31:$M$130,$A90,ANALYSIS!$N$31:$N$130,C$82))</f>
        <v/>
      </c>
      <c r="D90" s="35" t="str">
        <f>IF(OR($A90="",D$82=""),"",COUNTIFS(ANALYSIS!$M$31:$M$130,$A90,ANALYSIS!$N$31:$N$130,D$82))</f>
        <v/>
      </c>
      <c r="E90" s="35" t="str">
        <f>IF(OR($A90="",E$82=""),"",COUNTIFS(ANALYSIS!$M$31:$M$130,$A90,ANALYSIS!$N$31:$N$130,E$82))</f>
        <v/>
      </c>
      <c r="F90" s="35" t="str">
        <f>IF(OR($A90="",F$82=""),"",COUNTIFS(ANALYSIS!$M$31:$M$130,$A90,ANALYSIS!$N$31:$N$130,F$82))</f>
        <v/>
      </c>
      <c r="G90" s="35" t="str">
        <f>IF(OR($A90="",G$82=""),"",COUNTIFS(ANALYSIS!$M$31:$M$130,$A90,ANALYSIS!$N$31:$N$130,G$82))</f>
        <v/>
      </c>
      <c r="H90" s="35" t="str">
        <f>IF(OR($A90="",H$82=""),"",COUNTIFS(ANALYSIS!$M$31:$M$130,$A90,ANALYSIS!$N$31:$N$130,H$82))</f>
        <v/>
      </c>
      <c r="I90" s="35" t="str">
        <f>IF(OR($A90="",I$82=""),"",COUNTIFS(ANALYSIS!$M$31:$M$130,$A90,ANALYSIS!$N$31:$N$130,I$82))</f>
        <v/>
      </c>
      <c r="J90" s="35" t="str">
        <f>IF(OR($A90="",J$82=""),"",COUNTIFS(ANALYSIS!$M$31:$M$130,$A90,ANALYSIS!$N$31:$N$130,J$82))</f>
        <v/>
      </c>
      <c r="K90" s="35" t="str">
        <f>IF(OR($A90="",K$82=""),"",COUNTIFS(ANALYSIS!$M$31:$M$130,$A90,ANALYSIS!$N$31:$N$130,K$82))</f>
        <v/>
      </c>
      <c r="L90" s="35" t="str">
        <f>IF(OR($A90="",L$82=""),"",COUNTIFS(ANALYSIS!$M$31:$M$130,$A90,ANALYSIS!$N$31:$N$130,L$82))</f>
        <v/>
      </c>
      <c r="M90" s="35" t="str">
        <f>IF(OR($A90="",M$82=""),"",COUNTIFS(ANALYSIS!$M$31:$M$130,$A90,ANALYSIS!$N$31:$N$130,M$82))</f>
        <v/>
      </c>
      <c r="N90" s="35" t="str">
        <f>IF(OR($A90="",N$82=""),"",COUNTIFS(ANALYSIS!$M$31:$M$130,$A90,ANALYSIS!$N$31:$N$130,N$82))</f>
        <v/>
      </c>
      <c r="O90" s="35" t="str">
        <f>IF(OR($A90="",O$82=""),"",COUNTIFS(ANALYSIS!$M$31:$M$130,$A90,ANALYSIS!$N$31:$N$130,O$82))</f>
        <v/>
      </c>
      <c r="P90" s="36" t="str">
        <f t="shared" si="8"/>
        <v/>
      </c>
    </row>
    <row r="91" spans="1:16" x14ac:dyDescent="0.25">
      <c r="A91" s="34" t="str">
        <f>IF(A90="","",IF(A90+$B$6&gt;FLOOR(MAX(ANALYSIS!$E$31:$E$130),$B$6),"",A90+$B$6))</f>
        <v/>
      </c>
      <c r="B91" s="35" t="str">
        <f>IF(OR($A91="",B$82=""),"",COUNTIFS(ANALYSIS!$M$31:$M$130,$A91,ANALYSIS!$N$31:$N$130,B$82))</f>
        <v/>
      </c>
      <c r="C91" s="35" t="str">
        <f>IF(OR($A91="",C$82=""),"",COUNTIFS(ANALYSIS!$M$31:$M$130,$A91,ANALYSIS!$N$31:$N$130,C$82))</f>
        <v/>
      </c>
      <c r="D91" s="35" t="str">
        <f>IF(OR($A91="",D$82=""),"",COUNTIFS(ANALYSIS!$M$31:$M$130,$A91,ANALYSIS!$N$31:$N$130,D$82))</f>
        <v/>
      </c>
      <c r="E91" s="35" t="str">
        <f>IF(OR($A91="",E$82=""),"",COUNTIFS(ANALYSIS!$M$31:$M$130,$A91,ANALYSIS!$N$31:$N$130,E$82))</f>
        <v/>
      </c>
      <c r="F91" s="35" t="str">
        <f>IF(OR($A91="",F$82=""),"",COUNTIFS(ANALYSIS!$M$31:$M$130,$A91,ANALYSIS!$N$31:$N$130,F$82))</f>
        <v/>
      </c>
      <c r="G91" s="35" t="str">
        <f>IF(OR($A91="",G$82=""),"",COUNTIFS(ANALYSIS!$M$31:$M$130,$A91,ANALYSIS!$N$31:$N$130,G$82))</f>
        <v/>
      </c>
      <c r="H91" s="35" t="str">
        <f>IF(OR($A91="",H$82=""),"",COUNTIFS(ANALYSIS!$M$31:$M$130,$A91,ANALYSIS!$N$31:$N$130,H$82))</f>
        <v/>
      </c>
      <c r="I91" s="35" t="str">
        <f>IF(OR($A91="",I$82=""),"",COUNTIFS(ANALYSIS!$M$31:$M$130,$A91,ANALYSIS!$N$31:$N$130,I$82))</f>
        <v/>
      </c>
      <c r="J91" s="35" t="str">
        <f>IF(OR($A91="",J$82=""),"",COUNTIFS(ANALYSIS!$M$31:$M$130,$A91,ANALYSIS!$N$31:$N$130,J$82))</f>
        <v/>
      </c>
      <c r="K91" s="35" t="str">
        <f>IF(OR($A91="",K$82=""),"",COUNTIFS(ANALYSIS!$M$31:$M$130,$A91,ANALYSIS!$N$31:$N$130,K$82))</f>
        <v/>
      </c>
      <c r="L91" s="35" t="str">
        <f>IF(OR($A91="",L$82=""),"",COUNTIFS(ANALYSIS!$M$31:$M$130,$A91,ANALYSIS!$N$31:$N$130,L$82))</f>
        <v/>
      </c>
      <c r="M91" s="35" t="str">
        <f>IF(OR($A91="",M$82=""),"",COUNTIFS(ANALYSIS!$M$31:$M$130,$A91,ANALYSIS!$N$31:$N$130,M$82))</f>
        <v/>
      </c>
      <c r="N91" s="35" t="str">
        <f>IF(OR($A91="",N$82=""),"",COUNTIFS(ANALYSIS!$M$31:$M$130,$A91,ANALYSIS!$N$31:$N$130,N$82))</f>
        <v/>
      </c>
      <c r="O91" s="35" t="str">
        <f>IF(OR($A91="",O$82=""),"",COUNTIFS(ANALYSIS!$M$31:$M$130,$A91,ANALYSIS!$N$31:$N$130,O$82))</f>
        <v/>
      </c>
      <c r="P91" s="36" t="str">
        <f t="shared" si="8"/>
        <v/>
      </c>
    </row>
    <row r="92" spans="1:16" x14ac:dyDescent="0.25">
      <c r="A92" s="34" t="str">
        <f>IF(A91="","",IF(A91+$B$6&gt;FLOOR(MAX(ANALYSIS!$E$31:$E$130),$B$6),"",A91+$B$6))</f>
        <v/>
      </c>
      <c r="B92" s="35" t="str">
        <f>IF(OR($A92="",B$82=""),"",COUNTIFS(ANALYSIS!$M$31:$M$130,$A92,ANALYSIS!$N$31:$N$130,B$82))</f>
        <v/>
      </c>
      <c r="C92" s="35" t="str">
        <f>IF(OR($A92="",C$82=""),"",COUNTIFS(ANALYSIS!$M$31:$M$130,$A92,ANALYSIS!$N$31:$N$130,C$82))</f>
        <v/>
      </c>
      <c r="D92" s="35" t="str">
        <f>IF(OR($A92="",D$82=""),"",COUNTIFS(ANALYSIS!$M$31:$M$130,$A92,ANALYSIS!$N$31:$N$130,D$82))</f>
        <v/>
      </c>
      <c r="E92" s="35" t="str">
        <f>IF(OR($A92="",E$82=""),"",COUNTIFS(ANALYSIS!$M$31:$M$130,$A92,ANALYSIS!$N$31:$N$130,E$82))</f>
        <v/>
      </c>
      <c r="F92" s="35" t="str">
        <f>IF(OR($A92="",F$82=""),"",COUNTIFS(ANALYSIS!$M$31:$M$130,$A92,ANALYSIS!$N$31:$N$130,F$82))</f>
        <v/>
      </c>
      <c r="G92" s="35" t="str">
        <f>IF(OR($A92="",G$82=""),"",COUNTIFS(ANALYSIS!$M$31:$M$130,$A92,ANALYSIS!$N$31:$N$130,G$82))</f>
        <v/>
      </c>
      <c r="H92" s="35" t="str">
        <f>IF(OR($A92="",H$82=""),"",COUNTIFS(ANALYSIS!$M$31:$M$130,$A92,ANALYSIS!$N$31:$N$130,H$82))</f>
        <v/>
      </c>
      <c r="I92" s="35" t="str">
        <f>IF(OR($A92="",I$82=""),"",COUNTIFS(ANALYSIS!$M$31:$M$130,$A92,ANALYSIS!$N$31:$N$130,I$82))</f>
        <v/>
      </c>
      <c r="J92" s="35" t="str">
        <f>IF(OR($A92="",J$82=""),"",COUNTIFS(ANALYSIS!$M$31:$M$130,$A92,ANALYSIS!$N$31:$N$130,J$82))</f>
        <v/>
      </c>
      <c r="K92" s="35" t="str">
        <f>IF(OR($A92="",K$82=""),"",COUNTIFS(ANALYSIS!$M$31:$M$130,$A92,ANALYSIS!$N$31:$N$130,K$82))</f>
        <v/>
      </c>
      <c r="L92" s="35" t="str">
        <f>IF(OR($A92="",L$82=""),"",COUNTIFS(ANALYSIS!$M$31:$M$130,$A92,ANALYSIS!$N$31:$N$130,L$82))</f>
        <v/>
      </c>
      <c r="M92" s="35" t="str">
        <f>IF(OR($A92="",M$82=""),"",COUNTIFS(ANALYSIS!$M$31:$M$130,$A92,ANALYSIS!$N$31:$N$130,M$82))</f>
        <v/>
      </c>
      <c r="N92" s="35" t="str">
        <f>IF(OR($A92="",N$82=""),"",COUNTIFS(ANALYSIS!$M$31:$M$130,$A92,ANALYSIS!$N$31:$N$130,N$82))</f>
        <v/>
      </c>
      <c r="O92" s="35" t="str">
        <f>IF(OR($A92="",O$82=""),"",COUNTIFS(ANALYSIS!$M$31:$M$130,$A92,ANALYSIS!$N$31:$N$130,O$82))</f>
        <v/>
      </c>
      <c r="P92" s="36" t="str">
        <f t="shared" si="8"/>
        <v/>
      </c>
    </row>
    <row r="93" spans="1:16" x14ac:dyDescent="0.25">
      <c r="A93" s="37" t="s">
        <v>182</v>
      </c>
      <c r="B93" s="38">
        <f>IF(B$82="","",SUM(B83:B92))</f>
        <v>3</v>
      </c>
      <c r="C93" s="38">
        <f t="shared" ref="C93:O93" si="9">IF(C$82="","",SUM(C83:C92))</f>
        <v>11</v>
      </c>
      <c r="D93" s="38">
        <f t="shared" si="9"/>
        <v>9</v>
      </c>
      <c r="E93" s="38">
        <f t="shared" si="9"/>
        <v>8</v>
      </c>
      <c r="F93" s="38">
        <f t="shared" si="9"/>
        <v>18</v>
      </c>
      <c r="G93" s="38">
        <f t="shared" si="9"/>
        <v>16</v>
      </c>
      <c r="H93" s="38">
        <f t="shared" si="9"/>
        <v>12</v>
      </c>
      <c r="I93" s="38">
        <f t="shared" si="9"/>
        <v>4</v>
      </c>
      <c r="J93" s="38">
        <f t="shared" si="9"/>
        <v>10</v>
      </c>
      <c r="K93" s="38">
        <f t="shared" si="9"/>
        <v>6</v>
      </c>
      <c r="L93" s="38">
        <f t="shared" si="9"/>
        <v>2</v>
      </c>
      <c r="M93" s="38">
        <f t="shared" si="9"/>
        <v>1</v>
      </c>
      <c r="N93" s="38" t="str">
        <f t="shared" si="9"/>
        <v/>
      </c>
      <c r="O93" s="38" t="str">
        <f t="shared" si="9"/>
        <v/>
      </c>
      <c r="P93" s="39">
        <f>SUM(P83:P92)</f>
        <v>100</v>
      </c>
    </row>
  </sheetData>
  <conditionalFormatting sqref="B83:O92">
    <cfRule type="colorScale" priority="6">
      <colorScale>
        <cfvo type="min"/>
        <cfvo type="num" val="3"/>
        <cfvo type="max"/>
        <color rgb="FFFFFFFF"/>
        <color rgb="FFFFEB84"/>
        <color rgb="FF63BE7B"/>
      </colorScale>
    </cfRule>
  </conditionalFormatting>
  <conditionalFormatting sqref="L15:M80">
    <cfRule type="containsText" dxfId="5" priority="1" operator="containsText" text="Yes">
      <formula>NOT(ISERROR(SEARCH("Yes",L15)))</formula>
    </cfRule>
    <cfRule type="containsText" dxfId="4" priority="2" operator="containsText" text="No">
      <formula>NOT(ISERROR(SEARCH("No",L15)))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1BB5-3C8A-4A1C-9223-AA03890BDF05}">
  <dimension ref="A1:AA130"/>
  <sheetViews>
    <sheetView workbookViewId="0">
      <selection activeCell="B6" sqref="B6"/>
    </sheetView>
  </sheetViews>
  <sheetFormatPr defaultRowHeight="15" x14ac:dyDescent="0.25"/>
  <cols>
    <col min="1" max="1" width="71.5703125" bestFit="1" customWidth="1"/>
    <col min="2" max="2" width="8.42578125" bestFit="1" customWidth="1"/>
    <col min="3" max="4" width="11.28515625" bestFit="1" customWidth="1"/>
    <col min="5" max="5" width="13.28515625" bestFit="1" customWidth="1"/>
    <col min="6" max="6" width="32.28515625" bestFit="1" customWidth="1"/>
    <col min="7" max="7" width="10.28515625" bestFit="1" customWidth="1"/>
    <col min="8" max="8" width="8.42578125" bestFit="1" customWidth="1"/>
    <col min="9" max="9" width="15.5703125" bestFit="1" customWidth="1"/>
    <col min="10" max="10" width="8.28515625" bestFit="1" customWidth="1"/>
    <col min="11" max="11" width="5.42578125" bestFit="1" customWidth="1"/>
    <col min="12" max="12" width="13.5703125" bestFit="1" customWidth="1"/>
    <col min="14" max="14" width="57.140625" customWidth="1"/>
    <col min="15" max="15" width="8.42578125" bestFit="1" customWidth="1"/>
    <col min="16" max="16" width="9.7109375" bestFit="1" customWidth="1"/>
    <col min="17" max="17" width="10" bestFit="1" customWidth="1"/>
    <col min="18" max="18" width="12.7109375" bestFit="1" customWidth="1"/>
    <col min="19" max="19" width="9.7109375" bestFit="1" customWidth="1"/>
    <col min="20" max="20" width="10" bestFit="1" customWidth="1"/>
    <col min="21" max="21" width="13.140625" bestFit="1" customWidth="1"/>
    <col min="22" max="22" width="11.28515625" bestFit="1" customWidth="1"/>
    <col min="23" max="23" width="11.140625" bestFit="1" customWidth="1"/>
    <col min="25" max="25" width="31" bestFit="1" customWidth="1"/>
    <col min="26" max="27" width="14" bestFit="1" customWidth="1"/>
  </cols>
  <sheetData>
    <row r="1" spans="1:17" ht="18.75" x14ac:dyDescent="0.3">
      <c r="A1" s="1" t="s">
        <v>107</v>
      </c>
    </row>
    <row r="2" spans="1:17" x14ac:dyDescent="0.25">
      <c r="A2" s="2" t="str">
        <f>"100 shafts, spined on two sides (A &amp; B) and weighed. Spec spine "&amp;$B$5&amp;"–"&amp;$B$6&amp;" lb."</f>
        <v>100 shafts, spined on two sides (A &amp; B) and weighed. Spec spine 54–60 lb.</v>
      </c>
    </row>
    <row r="4" spans="1:17" x14ac:dyDescent="0.25">
      <c r="A4" s="4" t="s">
        <v>108</v>
      </c>
      <c r="B4" s="5"/>
      <c r="F4" s="4" t="s">
        <v>155</v>
      </c>
      <c r="G4" s="5"/>
    </row>
    <row r="5" spans="1:17" x14ac:dyDescent="0.25">
      <c r="A5" t="s">
        <v>109</v>
      </c>
      <c r="B5" s="6">
        <v>54</v>
      </c>
      <c r="F5" t="s">
        <v>156</v>
      </c>
      <c r="G5" s="6">
        <v>3</v>
      </c>
    </row>
    <row r="6" spans="1:17" x14ac:dyDescent="0.25">
      <c r="A6" t="s">
        <v>110</v>
      </c>
      <c r="B6" s="6">
        <v>60</v>
      </c>
      <c r="F6" t="s">
        <v>157</v>
      </c>
      <c r="G6" s="6">
        <v>0.5</v>
      </c>
    </row>
    <row r="7" spans="1:17" x14ac:dyDescent="0.25">
      <c r="A7" t="s">
        <v>111</v>
      </c>
      <c r="B7" s="6">
        <v>1</v>
      </c>
      <c r="F7" t="s">
        <v>158</v>
      </c>
      <c r="G7" s="7">
        <v>3</v>
      </c>
    </row>
    <row r="10" spans="1:17" ht="15.75" x14ac:dyDescent="0.25">
      <c r="A10" s="8" t="s">
        <v>122</v>
      </c>
      <c r="N10" s="8" t="s">
        <v>150</v>
      </c>
    </row>
    <row r="11" spans="1:17" x14ac:dyDescent="0.25">
      <c r="A11" s="4" t="s">
        <v>123</v>
      </c>
      <c r="B11" s="9" t="s">
        <v>120</v>
      </c>
      <c r="C11" s="9" t="s">
        <v>121</v>
      </c>
      <c r="D11" s="9" t="s">
        <v>124</v>
      </c>
      <c r="F11" s="9" t="s">
        <v>135</v>
      </c>
      <c r="G11" s="9" t="s">
        <v>120</v>
      </c>
      <c r="H11" s="9" t="s">
        <v>121</v>
      </c>
      <c r="I11" s="9" t="s">
        <v>124</v>
      </c>
      <c r="N11" s="9" t="s">
        <v>151</v>
      </c>
      <c r="O11" s="9" t="s">
        <v>120</v>
      </c>
      <c r="P11" s="9" t="s">
        <v>121</v>
      </c>
      <c r="Q11" s="9" t="s">
        <v>116</v>
      </c>
    </row>
    <row r="12" spans="1:17" x14ac:dyDescent="0.25">
      <c r="A12" t="s">
        <v>125</v>
      </c>
      <c r="B12" s="17">
        <f>COUNT($E$31:$E$80)</f>
        <v>50</v>
      </c>
      <c r="C12" s="17">
        <f>COUNT($E$81:$E$130)</f>
        <v>50</v>
      </c>
      <c r="D12" s="20">
        <f>COUNT($E$31:$E$130)</f>
        <v>100</v>
      </c>
      <c r="F12" t="s">
        <v>136</v>
      </c>
      <c r="G12" s="12">
        <f>MIN($G$31:$G$80)</f>
        <v>21.18</v>
      </c>
      <c r="H12" s="12">
        <f>MIN($G$81:$G$130)</f>
        <v>21.46</v>
      </c>
      <c r="I12" s="21">
        <f>MIN($G$31:$G$130)</f>
        <v>21.18</v>
      </c>
      <c r="N12" s="24">
        <v>50</v>
      </c>
      <c r="O12" s="17">
        <f>COUNTIFS($E$31:$E$80,"&gt;="&amp;$N12,$E$31:$E$80,"&lt;"&amp;$N12+1)</f>
        <v>1</v>
      </c>
      <c r="P12" s="17">
        <f>COUNTIFS($E$81:$E$130,"&gt;="&amp;$N12,$E$81:$E$130,"&lt;"&amp;$N12+1)</f>
        <v>0</v>
      </c>
      <c r="Q12" s="15" t="str">
        <f>IF(AND($N12&gt;=$B$5,$N12&lt;=$B$6),"In spec","Out")</f>
        <v>Out</v>
      </c>
    </row>
    <row r="13" spans="1:17" x14ac:dyDescent="0.25">
      <c r="A13" t="s">
        <v>126</v>
      </c>
      <c r="B13" s="12">
        <f>MIN($E$31:$E$80)</f>
        <v>50</v>
      </c>
      <c r="C13" s="12">
        <f>MIN($E$81:$E$130)</f>
        <v>51</v>
      </c>
      <c r="D13" s="21">
        <f>MIN($E$31:$E$130)</f>
        <v>50</v>
      </c>
      <c r="F13" t="s">
        <v>137</v>
      </c>
      <c r="G13" s="12">
        <f>MAX($G$31:$G$80)</f>
        <v>26.76</v>
      </c>
      <c r="H13" s="12">
        <f>MAX($G$81:$G$130)</f>
        <v>26.09</v>
      </c>
      <c r="I13" s="21">
        <f>MAX($G$31:$G$130)</f>
        <v>26.76</v>
      </c>
      <c r="N13" s="24">
        <f>N12+1</f>
        <v>51</v>
      </c>
      <c r="O13" s="17">
        <f t="shared" ref="O13:O21" si="0">COUNTIFS($E$31:$E$80,"&gt;="&amp;$N13,$E$31:$E$80,"&lt;"&amp;$N13+1)</f>
        <v>1</v>
      </c>
      <c r="P13" s="17">
        <f t="shared" ref="P13:P21" si="1">COUNTIFS($E$81:$E$130,"&gt;="&amp;$N13,$E$81:$E$130,"&lt;"&amp;$N13+1)</f>
        <v>2</v>
      </c>
      <c r="Q13" s="15" t="str">
        <f t="shared" ref="Q13:Q21" si="2">IF(AND($N13&gt;=$B$5,$N13&lt;=$B$6),"In spec","Out")</f>
        <v>Out</v>
      </c>
    </row>
    <row r="14" spans="1:17" x14ac:dyDescent="0.25">
      <c r="A14" t="s">
        <v>127</v>
      </c>
      <c r="B14" s="12">
        <f>MAX($E$31:$E$80)</f>
        <v>59</v>
      </c>
      <c r="C14" s="12">
        <f>MAX($E$81:$E$130)</f>
        <v>58.5</v>
      </c>
      <c r="D14" s="21">
        <f>MAX($E$31:$E$130)</f>
        <v>59</v>
      </c>
      <c r="F14" t="s">
        <v>138</v>
      </c>
      <c r="G14" s="12">
        <f>AVERAGE($G$31:$G$80)</f>
        <v>23.648400000000006</v>
      </c>
      <c r="H14" s="12">
        <f>AVERAGE($G$81:$G$130)</f>
        <v>23.585000000000004</v>
      </c>
      <c r="I14" s="21">
        <f>AVERAGE($G$31:$G$130)</f>
        <v>23.616700000000002</v>
      </c>
      <c r="N14" s="24">
        <f t="shared" ref="N14:N21" si="3">N13+1</f>
        <v>52</v>
      </c>
      <c r="O14" s="17">
        <f t="shared" si="0"/>
        <v>6</v>
      </c>
      <c r="P14" s="17">
        <f t="shared" si="1"/>
        <v>3</v>
      </c>
      <c r="Q14" s="15" t="str">
        <f t="shared" si="2"/>
        <v>Out</v>
      </c>
    </row>
    <row r="15" spans="1:17" x14ac:dyDescent="0.25">
      <c r="A15" t="s">
        <v>128</v>
      </c>
      <c r="B15" s="12">
        <f>AVERAGE($E$31:$E$80)</f>
        <v>55.2</v>
      </c>
      <c r="C15" s="12">
        <f>AVERAGE($E$81:$E$130)</f>
        <v>55.24</v>
      </c>
      <c r="D15" s="21">
        <f>AVERAGE($E$31:$E$130)</f>
        <v>55.22</v>
      </c>
      <c r="F15" t="s">
        <v>139</v>
      </c>
      <c r="G15" s="12">
        <f>MEDIAN($G$31:$G$80)</f>
        <v>23.450000000000003</v>
      </c>
      <c r="H15" s="12">
        <f>MEDIAN($G$81:$G$130)</f>
        <v>23.75</v>
      </c>
      <c r="I15" s="21">
        <f>MEDIAN($G$31:$G$130)</f>
        <v>23.6</v>
      </c>
      <c r="N15" s="24">
        <f t="shared" si="3"/>
        <v>53</v>
      </c>
      <c r="O15" s="17">
        <f t="shared" si="0"/>
        <v>5</v>
      </c>
      <c r="P15" s="17">
        <f t="shared" si="1"/>
        <v>7</v>
      </c>
      <c r="Q15" s="15" t="str">
        <f t="shared" si="2"/>
        <v>Out</v>
      </c>
    </row>
    <row r="16" spans="1:17" x14ac:dyDescent="0.25">
      <c r="A16" t="s">
        <v>129</v>
      </c>
      <c r="B16" s="12">
        <f>MEDIAN($E$31:$E$80)</f>
        <v>55.5</v>
      </c>
      <c r="C16" s="12">
        <f>MEDIAN($E$81:$E$130)</f>
        <v>55</v>
      </c>
      <c r="D16" s="21">
        <f>MEDIAN($E$31:$E$130)</f>
        <v>55.25</v>
      </c>
      <c r="F16" t="s">
        <v>140</v>
      </c>
      <c r="G16" s="12">
        <f>STDEV($G$31:$G$80)</f>
        <v>1.4139860577207159</v>
      </c>
      <c r="H16" s="12">
        <f>STDEV($G$81:$G$130)</f>
        <v>1.1703239565459242</v>
      </c>
      <c r="I16" s="21">
        <f>STDEV($G$31:$G$130)</f>
        <v>1.2917070805016833</v>
      </c>
      <c r="N16" s="24">
        <f t="shared" si="3"/>
        <v>54</v>
      </c>
      <c r="O16" s="17">
        <f t="shared" si="0"/>
        <v>3</v>
      </c>
      <c r="P16" s="17">
        <f t="shared" si="1"/>
        <v>1</v>
      </c>
      <c r="Q16" s="15" t="str">
        <f t="shared" si="2"/>
        <v>In spec</v>
      </c>
    </row>
    <row r="17" spans="1:27" x14ac:dyDescent="0.25">
      <c r="A17" t="s">
        <v>130</v>
      </c>
      <c r="B17" s="12">
        <f>STDEV($E$31:$E$80)</f>
        <v>2.2360679774997894</v>
      </c>
      <c r="C17" s="12">
        <f>STDEV($E$81:$E$130)</f>
        <v>1.8578020808010125</v>
      </c>
      <c r="D17" s="21">
        <f>STDEV($E$31:$E$130)</f>
        <v>2.045344553720557</v>
      </c>
      <c r="F17" t="s">
        <v>141</v>
      </c>
      <c r="G17" s="12">
        <f>G13-G12</f>
        <v>5.5800000000000018</v>
      </c>
      <c r="H17" s="12">
        <f>H13-H12</f>
        <v>4.629999999999999</v>
      </c>
      <c r="I17" s="21">
        <f>I13-I12</f>
        <v>5.5800000000000018</v>
      </c>
      <c r="N17" s="24">
        <f t="shared" si="3"/>
        <v>55</v>
      </c>
      <c r="O17" s="17">
        <f t="shared" si="0"/>
        <v>13</v>
      </c>
      <c r="P17" s="17">
        <f t="shared" si="1"/>
        <v>17</v>
      </c>
      <c r="Q17" s="15" t="str">
        <f t="shared" si="2"/>
        <v>In spec</v>
      </c>
    </row>
    <row r="18" spans="1:27" x14ac:dyDescent="0.25">
      <c r="A18" t="s">
        <v>131</v>
      </c>
      <c r="B18" s="12">
        <f>AVERAGE($F$31:$F$80)</f>
        <v>0.18</v>
      </c>
      <c r="C18" s="12">
        <f>AVERAGE($F$81:$F$130)</f>
        <v>0.28000000000000003</v>
      </c>
      <c r="D18" s="21">
        <f>AVERAGE($F$31:$F$130)</f>
        <v>0.23</v>
      </c>
      <c r="N18" s="24">
        <f t="shared" si="3"/>
        <v>56</v>
      </c>
      <c r="O18" s="17">
        <f t="shared" si="0"/>
        <v>9</v>
      </c>
      <c r="P18" s="17">
        <f t="shared" si="1"/>
        <v>9</v>
      </c>
      <c r="Q18" s="15" t="str">
        <f t="shared" si="2"/>
        <v>In spec</v>
      </c>
    </row>
    <row r="19" spans="1:27" x14ac:dyDescent="0.25">
      <c r="A19" t="s">
        <v>132</v>
      </c>
      <c r="B19" s="13">
        <f>MAX($F$31:$F$80)</f>
        <v>1</v>
      </c>
      <c r="C19" s="13">
        <f>MAX($F$81:$F$130)</f>
        <v>2</v>
      </c>
      <c r="D19" s="22">
        <f>MAX($F$31:$F$130)</f>
        <v>2</v>
      </c>
      <c r="N19" s="24">
        <f t="shared" si="3"/>
        <v>57</v>
      </c>
      <c r="O19" s="17">
        <f t="shared" si="0"/>
        <v>4</v>
      </c>
      <c r="P19" s="17">
        <f t="shared" si="1"/>
        <v>4</v>
      </c>
      <c r="Q19" s="15" t="str">
        <f t="shared" si="2"/>
        <v>In spec</v>
      </c>
    </row>
    <row r="20" spans="1:27" x14ac:dyDescent="0.25">
      <c r="A20" t="s">
        <v>133</v>
      </c>
      <c r="B20" s="17">
        <f>COUNTIF($F$31:$F$80,"&gt;"&amp;$B$7)</f>
        <v>0</v>
      </c>
      <c r="C20" s="17">
        <f>COUNTIF($F$81:$F$130,"&gt;"&amp;$B$7)</f>
        <v>1</v>
      </c>
      <c r="D20" s="20">
        <f>COUNTIF($F$31:$F$130,"&gt;"&amp;$B$7)</f>
        <v>1</v>
      </c>
      <c r="N20" s="24">
        <f t="shared" si="3"/>
        <v>58</v>
      </c>
      <c r="O20" s="17">
        <f t="shared" si="0"/>
        <v>5</v>
      </c>
      <c r="P20" s="17">
        <f t="shared" si="1"/>
        <v>7</v>
      </c>
      <c r="Q20" s="15" t="str">
        <f t="shared" si="2"/>
        <v>In spec</v>
      </c>
    </row>
    <row r="21" spans="1:27" x14ac:dyDescent="0.25">
      <c r="A21" t="str">
        <f>"Shafts in spec ("&amp;$B$5&amp;"–"&amp;$B$6&amp;" lb)"</f>
        <v>Shafts in spec (54–60 lb)</v>
      </c>
      <c r="B21" s="17">
        <f>COUNTIFS($E$31:$E$80,"&gt;="&amp;$B$5,$E$31:$E$80,"&lt;="&amp;$B$6)</f>
        <v>37</v>
      </c>
      <c r="C21" s="17">
        <f>COUNTIFS($E$81:$E$130,"&gt;="&amp;$B$5,$E$81:$E$130,"&lt;="&amp;$B$6)</f>
        <v>38</v>
      </c>
      <c r="D21" s="20">
        <f>COUNTIFS($E$31:$E$130,"&gt;="&amp;$B$5,$E$31:$E$130,"&lt;="&amp;$B$6)</f>
        <v>75</v>
      </c>
      <c r="N21" s="24">
        <f t="shared" si="3"/>
        <v>59</v>
      </c>
      <c r="O21" s="17">
        <f t="shared" si="0"/>
        <v>3</v>
      </c>
      <c r="P21" s="17">
        <f t="shared" si="1"/>
        <v>0</v>
      </c>
      <c r="Q21" s="15" t="str">
        <f t="shared" si="2"/>
        <v>In spec</v>
      </c>
    </row>
    <row r="22" spans="1:27" x14ac:dyDescent="0.25">
      <c r="A22" t="s">
        <v>134</v>
      </c>
      <c r="B22" s="19">
        <f>B21/B12</f>
        <v>0.74</v>
      </c>
      <c r="C22" s="19">
        <f>C21/C12</f>
        <v>0.76</v>
      </c>
      <c r="D22" s="23">
        <f>D21/D12</f>
        <v>0.75</v>
      </c>
    </row>
    <row r="23" spans="1:27" x14ac:dyDescent="0.25">
      <c r="A23" t="str">
        <f>"Shafts under "&amp;$B$5&amp;" lb"</f>
        <v>Shafts under 54 lb</v>
      </c>
      <c r="B23" s="17">
        <f>COUNTIF($E$31:$E$80,"&lt;"&amp;$B$5)</f>
        <v>13</v>
      </c>
      <c r="C23" s="17">
        <f>COUNTIF($E$81:$E$130,"&lt;"&amp;$B$5)</f>
        <v>12</v>
      </c>
      <c r="D23" s="20">
        <f>COUNTIF($E$31:$E$130,"&lt;"&amp;$B$5)</f>
        <v>25</v>
      </c>
    </row>
    <row r="24" spans="1:27" x14ac:dyDescent="0.25">
      <c r="A24" t="str">
        <f>"Shafts over "&amp;$B$6&amp;" lb"</f>
        <v>Shafts over 60 lb</v>
      </c>
      <c r="B24" s="17">
        <f>COUNTIF($E$31:$E$80,"&gt;"&amp;$B$6)</f>
        <v>0</v>
      </c>
      <c r="C24" s="17">
        <f>COUNTIF($E$81:$E$130,"&gt;"&amp;$B$6)</f>
        <v>0</v>
      </c>
      <c r="D24" s="20">
        <f>COUNTIF($E$31:$E$130,"&gt;"&amp;$B$6)</f>
        <v>0</v>
      </c>
    </row>
    <row r="29" spans="1:27" ht="15.75" x14ac:dyDescent="0.25">
      <c r="A29" s="8" t="s">
        <v>112</v>
      </c>
      <c r="Y29" s="3" t="s">
        <v>152</v>
      </c>
    </row>
    <row r="30" spans="1:27" x14ac:dyDescent="0.25">
      <c r="A30" s="9" t="s">
        <v>113</v>
      </c>
      <c r="B30" s="9" t="s">
        <v>1</v>
      </c>
      <c r="C30" s="9" t="s">
        <v>2</v>
      </c>
      <c r="D30" s="9" t="s">
        <v>3</v>
      </c>
      <c r="E30" s="9" t="s">
        <v>114</v>
      </c>
      <c r="F30" s="9" t="s">
        <v>115</v>
      </c>
      <c r="G30" s="9" t="s">
        <v>4</v>
      </c>
      <c r="H30" s="9" t="str">
        <f>"In spec? ("&amp;$B$5&amp;"–"&amp;$B$6&amp;")"</f>
        <v>In spec? (54–60)</v>
      </c>
      <c r="I30" s="9" t="s">
        <v>117</v>
      </c>
      <c r="J30" s="9" t="s">
        <v>118</v>
      </c>
      <c r="K30" s="9" t="s">
        <v>119</v>
      </c>
      <c r="L30" s="9" t="s">
        <v>159</v>
      </c>
      <c r="M30" s="9" t="s">
        <v>160</v>
      </c>
      <c r="N30" s="9" t="s">
        <v>161</v>
      </c>
      <c r="O30" s="9" t="s">
        <v>162</v>
      </c>
      <c r="P30" s="9" t="s">
        <v>163</v>
      </c>
      <c r="Y30" s="4" t="s">
        <v>114</v>
      </c>
      <c r="Z30" s="4" t="s">
        <v>153</v>
      </c>
      <c r="AA30" s="4" t="s">
        <v>154</v>
      </c>
    </row>
    <row r="31" spans="1:27" x14ac:dyDescent="0.25">
      <c r="A31" t="s">
        <v>120</v>
      </c>
      <c r="B31" s="10" t="str">
        <f>BATCH19!A3</f>
        <v>19-01</v>
      </c>
      <c r="C31" s="11">
        <f>BATCH19!B3</f>
        <v>56</v>
      </c>
      <c r="D31" s="11">
        <f>BATCH19!C3</f>
        <v>55</v>
      </c>
      <c r="E31" s="12">
        <f>AVERAGE(C31:D31)</f>
        <v>55.5</v>
      </c>
      <c r="F31" s="13">
        <f>ABS(C31-D31)</f>
        <v>1</v>
      </c>
      <c r="G31" s="14">
        <f>BATCH19!D3</f>
        <v>23.23</v>
      </c>
      <c r="H31" s="15" t="str">
        <f>IF(AND(E31&gt;=$B$5,E31&lt;=$B$6),"In",IF(E31&lt;$B$5,"Under","Over"))</f>
        <v>In</v>
      </c>
      <c r="I31" s="15" t="str">
        <f>IF(F31&lt;=$B$7,"Yes","No")</f>
        <v>Yes</v>
      </c>
      <c r="J31" s="16">
        <f>E31+G31/1000</f>
        <v>55.523229999999998</v>
      </c>
      <c r="K31" s="17">
        <f>RANK(J31,$J$31:$J$130,1)+COUNTIF($J$31:J31,J31)-1</f>
        <v>54</v>
      </c>
      <c r="L31" s="26">
        <f>IFERROR(MATCH(O31,GROUPS!$B$15:$B$50,0),"")</f>
        <v>2</v>
      </c>
      <c r="M31" s="13">
        <f>FLOOR(E31,$G$5)</f>
        <v>54</v>
      </c>
      <c r="N31" s="13">
        <f>FLOOR(G31,$G$6)</f>
        <v>23</v>
      </c>
      <c r="O31" t="str">
        <f>TEXT(M31,"0.0")&amp;" lb / "&amp;TEXT(N31,"0.0")&amp;" g"</f>
        <v>54.0 lb / 23.0 g</v>
      </c>
      <c r="P31" s="18">
        <f>COUNTIF($O$31:$O$130,O31)</f>
        <v>9</v>
      </c>
      <c r="Y31" s="12">
        <f>E31</f>
        <v>55.5</v>
      </c>
      <c r="Z31" s="12">
        <f>IF($A31="Batch 19",$G31,NA())</f>
        <v>23.23</v>
      </c>
      <c r="AA31" s="12" t="e">
        <f>IF($A31="Batch 20",$G31,NA())</f>
        <v>#N/A</v>
      </c>
    </row>
    <row r="32" spans="1:27" x14ac:dyDescent="0.25">
      <c r="A32" t="s">
        <v>120</v>
      </c>
      <c r="B32" s="10" t="str">
        <f>BATCH19!A4</f>
        <v>19-02</v>
      </c>
      <c r="C32" s="11">
        <f>BATCH19!B4</f>
        <v>58</v>
      </c>
      <c r="D32" s="11">
        <f>BATCH19!C4</f>
        <v>58</v>
      </c>
      <c r="E32" s="12">
        <f t="shared" ref="E32:E80" si="4">AVERAGE(C32:D32)</f>
        <v>58</v>
      </c>
      <c r="F32" s="13">
        <f t="shared" ref="F32:F80" si="5">ABS(C32-D32)</f>
        <v>0</v>
      </c>
      <c r="G32" s="14">
        <f>BATCH19!D4</f>
        <v>24.7</v>
      </c>
      <c r="H32" s="15" t="str">
        <f t="shared" ref="H32:H80" si="6">IF(AND(E32&gt;=$B$5,E32&lt;=$B$6),"In",IF(E32&lt;$B$5,"Under","Over"))</f>
        <v>In</v>
      </c>
      <c r="I32" s="15" t="str">
        <f t="shared" ref="I32:I80" si="7">IF(F32&lt;=$B$7,"Yes","No")</f>
        <v>Yes</v>
      </c>
      <c r="J32" s="16">
        <f t="shared" ref="J32:J80" si="8">E32+G32/1000</f>
        <v>58.024700000000003</v>
      </c>
      <c r="K32" s="17">
        <f>RANK(J32,$J$31:$J$130,1)+COUNTIF($J$31:J32,J32)-1</f>
        <v>91</v>
      </c>
      <c r="L32" s="26">
        <f>IFERROR(MATCH(O32,GROUPS!$B$15:$B$50,0),"")</f>
        <v>21</v>
      </c>
      <c r="M32" s="13">
        <f t="shared" ref="M32:M95" si="9">FLOOR(E32,$G$5)</f>
        <v>57</v>
      </c>
      <c r="N32" s="13">
        <f t="shared" ref="N32:N95" si="10">FLOOR(G32,$G$6)</f>
        <v>24.5</v>
      </c>
      <c r="O32" t="str">
        <f t="shared" ref="O32:O95" si="11">TEXT(M32,"0.0")&amp;" lb / "&amp;TEXT(N32,"0.0")&amp;" g"</f>
        <v>57.0 lb / 24.5 g</v>
      </c>
      <c r="P32" s="18">
        <f t="shared" ref="P32:P95" si="12">COUNTIF($O$31:$O$130,O32)</f>
        <v>2</v>
      </c>
      <c r="Y32" s="12">
        <f t="shared" ref="Y32:Y95" si="13">E32</f>
        <v>58</v>
      </c>
      <c r="Z32" s="12">
        <f t="shared" ref="Z32:Z95" si="14">IF($A32="Batch 19",$G32,NA())</f>
        <v>24.7</v>
      </c>
      <c r="AA32" s="12" t="e">
        <f t="shared" ref="AA32:AA95" si="15">IF($A32="Batch 20",$G32,NA())</f>
        <v>#N/A</v>
      </c>
    </row>
    <row r="33" spans="1:27" x14ac:dyDescent="0.25">
      <c r="A33" t="s">
        <v>120</v>
      </c>
      <c r="B33" s="10" t="str">
        <f>BATCH19!A5</f>
        <v>19-03</v>
      </c>
      <c r="C33" s="11">
        <f>BATCH19!B5</f>
        <v>52</v>
      </c>
      <c r="D33" s="11">
        <f>BATCH19!C5</f>
        <v>52</v>
      </c>
      <c r="E33" s="12">
        <f t="shared" si="4"/>
        <v>52</v>
      </c>
      <c r="F33" s="13">
        <f t="shared" si="5"/>
        <v>0</v>
      </c>
      <c r="G33" s="14">
        <f>BATCH19!D5</f>
        <v>22.19</v>
      </c>
      <c r="H33" s="15" t="str">
        <f t="shared" si="6"/>
        <v>Under</v>
      </c>
      <c r="I33" s="15" t="str">
        <f t="shared" si="7"/>
        <v>Yes</v>
      </c>
      <c r="J33" s="16">
        <f t="shared" si="8"/>
        <v>52.022190000000002</v>
      </c>
      <c r="K33" s="17">
        <f>RANK(J33,$J$31:$J$130,1)+COUNTIF($J$31:J33,J33)-1</f>
        <v>7</v>
      </c>
      <c r="L33" s="26">
        <f>IFERROR(MATCH(O33,GROUPS!$B$15:$B$50,0),"")</f>
        <v>10</v>
      </c>
      <c r="M33" s="13">
        <f t="shared" si="9"/>
        <v>51</v>
      </c>
      <c r="N33" s="13">
        <f t="shared" si="10"/>
        <v>22</v>
      </c>
      <c r="O33" t="str">
        <f t="shared" si="11"/>
        <v>51.0 lb / 22.0 g</v>
      </c>
      <c r="P33" s="18">
        <f t="shared" si="12"/>
        <v>4</v>
      </c>
      <c r="Y33" s="12">
        <f t="shared" si="13"/>
        <v>52</v>
      </c>
      <c r="Z33" s="12">
        <f t="shared" si="14"/>
        <v>22.19</v>
      </c>
      <c r="AA33" s="12" t="e">
        <f t="shared" si="15"/>
        <v>#N/A</v>
      </c>
    </row>
    <row r="34" spans="1:27" x14ac:dyDescent="0.25">
      <c r="A34" t="s">
        <v>120</v>
      </c>
      <c r="B34" s="10" t="str">
        <f>BATCH19!A6</f>
        <v>19-04</v>
      </c>
      <c r="C34" s="11">
        <f>BATCH19!B6</f>
        <v>55</v>
      </c>
      <c r="D34" s="11">
        <f>BATCH19!C6</f>
        <v>55</v>
      </c>
      <c r="E34" s="12">
        <f t="shared" si="4"/>
        <v>55</v>
      </c>
      <c r="F34" s="13">
        <f t="shared" si="5"/>
        <v>0</v>
      </c>
      <c r="G34" s="14">
        <f>BATCH19!D6</f>
        <v>24.03</v>
      </c>
      <c r="H34" s="15" t="str">
        <f t="shared" si="6"/>
        <v>In</v>
      </c>
      <c r="I34" s="15" t="str">
        <f t="shared" si="7"/>
        <v>Yes</v>
      </c>
      <c r="J34" s="16">
        <f t="shared" si="8"/>
        <v>55.024030000000003</v>
      </c>
      <c r="K34" s="17">
        <f>RANK(J34,$J$31:$J$130,1)+COUNTIF($J$31:J34,J34)-1</f>
        <v>44</v>
      </c>
      <c r="L34" s="26">
        <f>IFERROR(MATCH(O34,GROUPS!$B$15:$B$50,0),"")</f>
        <v>7</v>
      </c>
      <c r="M34" s="13">
        <f t="shared" si="9"/>
        <v>54</v>
      </c>
      <c r="N34" s="13">
        <f t="shared" si="10"/>
        <v>24</v>
      </c>
      <c r="O34" t="str">
        <f t="shared" si="11"/>
        <v>54.0 lb / 24.0 g</v>
      </c>
      <c r="P34" s="18">
        <f t="shared" si="12"/>
        <v>5</v>
      </c>
      <c r="Y34" s="12">
        <f t="shared" si="13"/>
        <v>55</v>
      </c>
      <c r="Z34" s="12">
        <f t="shared" si="14"/>
        <v>24.03</v>
      </c>
      <c r="AA34" s="12" t="e">
        <f t="shared" si="15"/>
        <v>#N/A</v>
      </c>
    </row>
    <row r="35" spans="1:27" x14ac:dyDescent="0.25">
      <c r="A35" t="s">
        <v>120</v>
      </c>
      <c r="B35" s="10" t="str">
        <f>BATCH19!A7</f>
        <v>19-05</v>
      </c>
      <c r="C35" s="11">
        <f>BATCH19!B7</f>
        <v>56</v>
      </c>
      <c r="D35" s="11">
        <f>BATCH19!C7</f>
        <v>56</v>
      </c>
      <c r="E35" s="12">
        <f t="shared" si="4"/>
        <v>56</v>
      </c>
      <c r="F35" s="13">
        <f t="shared" si="5"/>
        <v>0</v>
      </c>
      <c r="G35" s="14">
        <f>BATCH19!D7</f>
        <v>21.93</v>
      </c>
      <c r="H35" s="15" t="str">
        <f t="shared" si="6"/>
        <v>In</v>
      </c>
      <c r="I35" s="15" t="str">
        <f t="shared" si="7"/>
        <v>Yes</v>
      </c>
      <c r="J35" s="16">
        <f t="shared" si="8"/>
        <v>56.021929999999998</v>
      </c>
      <c r="K35" s="17">
        <f>RANK(J35,$J$31:$J$130,1)+COUNTIF($J$31:J35,J35)-1</f>
        <v>60</v>
      </c>
      <c r="L35" s="26">
        <f>IFERROR(MATCH(O35,GROUPS!$B$15:$B$50,0),"")</f>
        <v>11</v>
      </c>
      <c r="M35" s="13">
        <f t="shared" si="9"/>
        <v>54</v>
      </c>
      <c r="N35" s="13">
        <f t="shared" si="10"/>
        <v>21.5</v>
      </c>
      <c r="O35" t="str">
        <f t="shared" si="11"/>
        <v>54.0 lb / 21.5 g</v>
      </c>
      <c r="P35" s="18">
        <f t="shared" si="12"/>
        <v>4</v>
      </c>
      <c r="Y35" s="12">
        <f t="shared" si="13"/>
        <v>56</v>
      </c>
      <c r="Z35" s="12">
        <f t="shared" si="14"/>
        <v>21.93</v>
      </c>
      <c r="AA35" s="12" t="e">
        <f t="shared" si="15"/>
        <v>#N/A</v>
      </c>
    </row>
    <row r="36" spans="1:27" x14ac:dyDescent="0.25">
      <c r="A36" t="s">
        <v>120</v>
      </c>
      <c r="B36" s="10" t="str">
        <f>BATCH19!A8</f>
        <v>19-06</v>
      </c>
      <c r="C36" s="11">
        <f>BATCH19!B8</f>
        <v>55</v>
      </c>
      <c r="D36" s="11">
        <f>BATCH19!C8</f>
        <v>55</v>
      </c>
      <c r="E36" s="12">
        <f t="shared" si="4"/>
        <v>55</v>
      </c>
      <c r="F36" s="13">
        <f t="shared" si="5"/>
        <v>0</v>
      </c>
      <c r="G36" s="14">
        <f>BATCH19!D8</f>
        <v>23.85</v>
      </c>
      <c r="H36" s="15" t="str">
        <f t="shared" si="6"/>
        <v>In</v>
      </c>
      <c r="I36" s="15" t="str">
        <f t="shared" si="7"/>
        <v>Yes</v>
      </c>
      <c r="J36" s="16">
        <f t="shared" si="8"/>
        <v>55.023850000000003</v>
      </c>
      <c r="K36" s="17">
        <f>RANK(J36,$J$31:$J$130,1)+COUNTIF($J$31:J36,J36)-1</f>
        <v>39</v>
      </c>
      <c r="L36" s="26">
        <f>IFERROR(MATCH(O36,GROUPS!$B$15:$B$50,0),"")</f>
        <v>1</v>
      </c>
      <c r="M36" s="13">
        <f t="shared" si="9"/>
        <v>54</v>
      </c>
      <c r="N36" s="13">
        <f t="shared" si="10"/>
        <v>23.5</v>
      </c>
      <c r="O36" t="str">
        <f t="shared" si="11"/>
        <v>54.0 lb / 23.5 g</v>
      </c>
      <c r="P36" s="18">
        <f t="shared" si="12"/>
        <v>10</v>
      </c>
      <c r="Y36" s="12">
        <f t="shared" si="13"/>
        <v>55</v>
      </c>
      <c r="Z36" s="12">
        <f t="shared" si="14"/>
        <v>23.85</v>
      </c>
      <c r="AA36" s="12" t="e">
        <f t="shared" si="15"/>
        <v>#N/A</v>
      </c>
    </row>
    <row r="37" spans="1:27" x14ac:dyDescent="0.25">
      <c r="A37" t="s">
        <v>120</v>
      </c>
      <c r="B37" s="10" t="str">
        <f>BATCH19!A9</f>
        <v>19-07</v>
      </c>
      <c r="C37" s="11">
        <f>BATCH19!B9</f>
        <v>52</v>
      </c>
      <c r="D37" s="11">
        <f>BATCH19!C9</f>
        <v>52</v>
      </c>
      <c r="E37" s="12">
        <f t="shared" si="4"/>
        <v>52</v>
      </c>
      <c r="F37" s="13">
        <f t="shared" si="5"/>
        <v>0</v>
      </c>
      <c r="G37" s="14">
        <f>BATCH19!D9</f>
        <v>21.59</v>
      </c>
      <c r="H37" s="15" t="str">
        <f t="shared" si="6"/>
        <v>Under</v>
      </c>
      <c r="I37" s="15" t="str">
        <f t="shared" si="7"/>
        <v>Yes</v>
      </c>
      <c r="J37" s="16">
        <f t="shared" si="8"/>
        <v>52.021590000000003</v>
      </c>
      <c r="K37" s="17">
        <f>RANK(J37,$J$31:$J$130,1)+COUNTIF($J$31:J37,J37)-1</f>
        <v>5</v>
      </c>
      <c r="L37" s="26">
        <f>IFERROR(MATCH(O37,GROUPS!$B$15:$B$50,0),"")</f>
        <v>3</v>
      </c>
      <c r="M37" s="13">
        <f t="shared" si="9"/>
        <v>51</v>
      </c>
      <c r="N37" s="13">
        <f t="shared" si="10"/>
        <v>21.5</v>
      </c>
      <c r="O37" t="str">
        <f t="shared" si="11"/>
        <v>51.0 lb / 21.5 g</v>
      </c>
      <c r="P37" s="18">
        <f t="shared" si="12"/>
        <v>6</v>
      </c>
      <c r="Y37" s="12">
        <f t="shared" si="13"/>
        <v>52</v>
      </c>
      <c r="Z37" s="12">
        <f t="shared" si="14"/>
        <v>21.59</v>
      </c>
      <c r="AA37" s="12" t="e">
        <f t="shared" si="15"/>
        <v>#N/A</v>
      </c>
    </row>
    <row r="38" spans="1:27" x14ac:dyDescent="0.25">
      <c r="A38" t="s">
        <v>120</v>
      </c>
      <c r="B38" s="10" t="str">
        <f>BATCH19!A10</f>
        <v>19-08</v>
      </c>
      <c r="C38" s="11">
        <f>BATCH19!B10</f>
        <v>53</v>
      </c>
      <c r="D38" s="11">
        <f>BATCH19!C10</f>
        <v>53</v>
      </c>
      <c r="E38" s="12">
        <f t="shared" si="4"/>
        <v>53</v>
      </c>
      <c r="F38" s="13">
        <f t="shared" si="5"/>
        <v>0</v>
      </c>
      <c r="G38" s="14">
        <f>BATCH19!D10</f>
        <v>21.54</v>
      </c>
      <c r="H38" s="15" t="str">
        <f t="shared" si="6"/>
        <v>Under</v>
      </c>
      <c r="I38" s="15" t="str">
        <f t="shared" si="7"/>
        <v>Yes</v>
      </c>
      <c r="J38" s="16">
        <f t="shared" si="8"/>
        <v>53.021540000000002</v>
      </c>
      <c r="K38" s="17">
        <f>RANK(J38,$J$31:$J$130,1)+COUNTIF($J$31:J38,J38)-1</f>
        <v>15</v>
      </c>
      <c r="L38" s="26">
        <f>IFERROR(MATCH(O38,GROUPS!$B$15:$B$50,0),"")</f>
        <v>3</v>
      </c>
      <c r="M38" s="13">
        <f t="shared" si="9"/>
        <v>51</v>
      </c>
      <c r="N38" s="13">
        <f t="shared" si="10"/>
        <v>21.5</v>
      </c>
      <c r="O38" t="str">
        <f t="shared" si="11"/>
        <v>51.0 lb / 21.5 g</v>
      </c>
      <c r="P38" s="18">
        <f t="shared" si="12"/>
        <v>6</v>
      </c>
      <c r="Y38" s="12">
        <f t="shared" si="13"/>
        <v>53</v>
      </c>
      <c r="Z38" s="12">
        <f t="shared" si="14"/>
        <v>21.54</v>
      </c>
      <c r="AA38" s="12" t="e">
        <f t="shared" si="15"/>
        <v>#N/A</v>
      </c>
    </row>
    <row r="39" spans="1:27" x14ac:dyDescent="0.25">
      <c r="A39" t="s">
        <v>120</v>
      </c>
      <c r="B39" s="10" t="str">
        <f>BATCH19!A11</f>
        <v>19-09</v>
      </c>
      <c r="C39" s="11">
        <f>BATCH19!B11</f>
        <v>50</v>
      </c>
      <c r="D39" s="11">
        <f>BATCH19!C11</f>
        <v>50</v>
      </c>
      <c r="E39" s="12">
        <f t="shared" si="4"/>
        <v>50</v>
      </c>
      <c r="F39" s="13">
        <f t="shared" si="5"/>
        <v>0</v>
      </c>
      <c r="G39" s="14">
        <f>BATCH19!D11</f>
        <v>22.67</v>
      </c>
      <c r="H39" s="15" t="str">
        <f t="shared" si="6"/>
        <v>Under</v>
      </c>
      <c r="I39" s="15" t="str">
        <f t="shared" si="7"/>
        <v>Yes</v>
      </c>
      <c r="J39" s="16">
        <f t="shared" si="8"/>
        <v>50.022669999999998</v>
      </c>
      <c r="K39" s="17">
        <f>RANK(J39,$J$31:$J$130,1)+COUNTIF($J$31:J39,J39)-1</f>
        <v>1</v>
      </c>
      <c r="L39" s="26">
        <f>IFERROR(MATCH(O39,GROUPS!$B$15:$B$50,0),"")</f>
        <v>23</v>
      </c>
      <c r="M39" s="13">
        <f t="shared" si="9"/>
        <v>48</v>
      </c>
      <c r="N39" s="13">
        <f t="shared" si="10"/>
        <v>22.5</v>
      </c>
      <c r="O39" t="str">
        <f t="shared" si="11"/>
        <v>48.0 lb / 22.5 g</v>
      </c>
      <c r="P39" s="18">
        <f t="shared" si="12"/>
        <v>1</v>
      </c>
      <c r="Y39" s="12">
        <f t="shared" si="13"/>
        <v>50</v>
      </c>
      <c r="Z39" s="12">
        <f t="shared" si="14"/>
        <v>22.67</v>
      </c>
      <c r="AA39" s="12" t="e">
        <f t="shared" si="15"/>
        <v>#N/A</v>
      </c>
    </row>
    <row r="40" spans="1:27" x14ac:dyDescent="0.25">
      <c r="A40" t="s">
        <v>120</v>
      </c>
      <c r="B40" s="10" t="str">
        <f>BATCH19!A12</f>
        <v>19-10</v>
      </c>
      <c r="C40" s="11">
        <f>BATCH19!B12</f>
        <v>56</v>
      </c>
      <c r="D40" s="11">
        <f>BATCH19!C12</f>
        <v>56</v>
      </c>
      <c r="E40" s="12">
        <f t="shared" si="4"/>
        <v>56</v>
      </c>
      <c r="F40" s="13">
        <f t="shared" si="5"/>
        <v>0</v>
      </c>
      <c r="G40" s="14">
        <f>BATCH19!D12</f>
        <v>24.67</v>
      </c>
      <c r="H40" s="15" t="str">
        <f t="shared" si="6"/>
        <v>In</v>
      </c>
      <c r="I40" s="15" t="str">
        <f t="shared" si="7"/>
        <v>Yes</v>
      </c>
      <c r="J40" s="16">
        <f t="shared" si="8"/>
        <v>56.02467</v>
      </c>
      <c r="K40" s="17">
        <f>RANK(J40,$J$31:$J$130,1)+COUNTIF($J$31:J40,J40)-1</f>
        <v>71</v>
      </c>
      <c r="L40" s="26">
        <f>IFERROR(MATCH(O40,GROUPS!$B$15:$B$50,0),"")</f>
        <v>20</v>
      </c>
      <c r="M40" s="13">
        <f t="shared" si="9"/>
        <v>54</v>
      </c>
      <c r="N40" s="13">
        <f t="shared" si="10"/>
        <v>24.5</v>
      </c>
      <c r="O40" t="str">
        <f t="shared" si="11"/>
        <v>54.0 lb / 24.5 g</v>
      </c>
      <c r="P40" s="18">
        <f t="shared" si="12"/>
        <v>2</v>
      </c>
      <c r="Y40" s="12">
        <f t="shared" si="13"/>
        <v>56</v>
      </c>
      <c r="Z40" s="12">
        <f t="shared" si="14"/>
        <v>24.67</v>
      </c>
      <c r="AA40" s="12" t="e">
        <f t="shared" si="15"/>
        <v>#N/A</v>
      </c>
    </row>
    <row r="41" spans="1:27" x14ac:dyDescent="0.25">
      <c r="A41" t="s">
        <v>120</v>
      </c>
      <c r="B41" s="10" t="str">
        <f>BATCH19!A13</f>
        <v>19-11</v>
      </c>
      <c r="C41" s="11">
        <f>BATCH19!B13</f>
        <v>52</v>
      </c>
      <c r="D41" s="11">
        <f>BATCH19!C13</f>
        <v>52</v>
      </c>
      <c r="E41" s="12">
        <f t="shared" si="4"/>
        <v>52</v>
      </c>
      <c r="F41" s="13">
        <f t="shared" si="5"/>
        <v>0</v>
      </c>
      <c r="G41" s="14">
        <f>BATCH19!D13</f>
        <v>23.14</v>
      </c>
      <c r="H41" s="15" t="str">
        <f t="shared" si="6"/>
        <v>Under</v>
      </c>
      <c r="I41" s="15" t="str">
        <f t="shared" si="7"/>
        <v>Yes</v>
      </c>
      <c r="J41" s="16">
        <f t="shared" si="8"/>
        <v>52.023139999999998</v>
      </c>
      <c r="K41" s="17">
        <f>RANK(J41,$J$31:$J$130,1)+COUNTIF($J$31:J41,J41)-1</f>
        <v>9</v>
      </c>
      <c r="L41" s="26">
        <f>IFERROR(MATCH(O41,GROUPS!$B$15:$B$50,0),"")</f>
        <v>5</v>
      </c>
      <c r="M41" s="13">
        <f t="shared" si="9"/>
        <v>51</v>
      </c>
      <c r="N41" s="13">
        <f t="shared" si="10"/>
        <v>23</v>
      </c>
      <c r="O41" t="str">
        <f t="shared" si="11"/>
        <v>51.0 lb / 23.0 g</v>
      </c>
      <c r="P41" s="18">
        <f t="shared" si="12"/>
        <v>5</v>
      </c>
      <c r="Y41" s="12">
        <f t="shared" si="13"/>
        <v>52</v>
      </c>
      <c r="Z41" s="12">
        <f t="shared" si="14"/>
        <v>23.14</v>
      </c>
      <c r="AA41" s="12" t="e">
        <f t="shared" si="15"/>
        <v>#N/A</v>
      </c>
    </row>
    <row r="42" spans="1:27" x14ac:dyDescent="0.25">
      <c r="A42" t="s">
        <v>120</v>
      </c>
      <c r="B42" s="10" t="str">
        <f>BATCH19!A14</f>
        <v>19-12</v>
      </c>
      <c r="C42" s="11">
        <f>BATCH19!B14</f>
        <v>58</v>
      </c>
      <c r="D42" s="11">
        <f>BATCH19!C14</f>
        <v>57</v>
      </c>
      <c r="E42" s="12">
        <f t="shared" si="4"/>
        <v>57.5</v>
      </c>
      <c r="F42" s="13">
        <f t="shared" si="5"/>
        <v>1</v>
      </c>
      <c r="G42" s="14">
        <f>BATCH19!D14</f>
        <v>24.3</v>
      </c>
      <c r="H42" s="15" t="str">
        <f t="shared" si="6"/>
        <v>In</v>
      </c>
      <c r="I42" s="15" t="str">
        <f t="shared" si="7"/>
        <v>Yes</v>
      </c>
      <c r="J42" s="16">
        <f t="shared" si="8"/>
        <v>57.524299999999997</v>
      </c>
      <c r="K42" s="17">
        <f>RANK(J42,$J$31:$J$130,1)+COUNTIF($J$31:J42,J42)-1</f>
        <v>84</v>
      </c>
      <c r="L42" s="26">
        <f>IFERROR(MATCH(O42,GROUPS!$B$15:$B$50,0),"")</f>
        <v>9</v>
      </c>
      <c r="M42" s="13">
        <f t="shared" si="9"/>
        <v>57</v>
      </c>
      <c r="N42" s="13">
        <f t="shared" si="10"/>
        <v>24</v>
      </c>
      <c r="O42" t="str">
        <f t="shared" si="11"/>
        <v>57.0 lb / 24.0 g</v>
      </c>
      <c r="P42" s="18">
        <f t="shared" si="12"/>
        <v>5</v>
      </c>
      <c r="Y42" s="12">
        <f t="shared" si="13"/>
        <v>57.5</v>
      </c>
      <c r="Z42" s="12">
        <f t="shared" si="14"/>
        <v>24.3</v>
      </c>
      <c r="AA42" s="12" t="e">
        <f t="shared" si="15"/>
        <v>#N/A</v>
      </c>
    </row>
    <row r="43" spans="1:27" x14ac:dyDescent="0.25">
      <c r="A43" t="s">
        <v>120</v>
      </c>
      <c r="B43" s="10" t="str">
        <f>BATCH19!A15</f>
        <v>19-13</v>
      </c>
      <c r="C43" s="11">
        <f>BATCH19!B15</f>
        <v>53</v>
      </c>
      <c r="D43" s="11">
        <f>BATCH19!C15</f>
        <v>53</v>
      </c>
      <c r="E43" s="12">
        <f t="shared" si="4"/>
        <v>53</v>
      </c>
      <c r="F43" s="13">
        <f t="shared" si="5"/>
        <v>0</v>
      </c>
      <c r="G43" s="14">
        <f>BATCH19!D15</f>
        <v>21.49</v>
      </c>
      <c r="H43" s="15" t="str">
        <f t="shared" si="6"/>
        <v>Under</v>
      </c>
      <c r="I43" s="15" t="str">
        <f t="shared" si="7"/>
        <v>Yes</v>
      </c>
      <c r="J43" s="16">
        <f t="shared" si="8"/>
        <v>53.02149</v>
      </c>
      <c r="K43" s="17">
        <f>RANK(J43,$J$31:$J$130,1)+COUNTIF($J$31:J43,J43)-1</f>
        <v>14</v>
      </c>
      <c r="L43" s="26">
        <f>IFERROR(MATCH(O43,GROUPS!$B$15:$B$50,0),"")</f>
        <v>24</v>
      </c>
      <c r="M43" s="13">
        <f t="shared" si="9"/>
        <v>51</v>
      </c>
      <c r="N43" s="13">
        <f t="shared" si="10"/>
        <v>21</v>
      </c>
      <c r="O43" t="str">
        <f t="shared" si="11"/>
        <v>51.0 lb / 21.0 g</v>
      </c>
      <c r="P43" s="18">
        <f t="shared" si="12"/>
        <v>1</v>
      </c>
      <c r="Y43" s="12">
        <f t="shared" si="13"/>
        <v>53</v>
      </c>
      <c r="Z43" s="12">
        <f t="shared" si="14"/>
        <v>21.49</v>
      </c>
      <c r="AA43" s="12" t="e">
        <f t="shared" si="15"/>
        <v>#N/A</v>
      </c>
    </row>
    <row r="44" spans="1:27" x14ac:dyDescent="0.25">
      <c r="A44" t="s">
        <v>120</v>
      </c>
      <c r="B44" s="10" t="str">
        <f>BATCH19!A16</f>
        <v>19-14</v>
      </c>
      <c r="C44" s="11">
        <f>BATCH19!B16</f>
        <v>55.5</v>
      </c>
      <c r="D44" s="11">
        <f>BATCH19!C16</f>
        <v>55.5</v>
      </c>
      <c r="E44" s="12">
        <f t="shared" si="4"/>
        <v>55.5</v>
      </c>
      <c r="F44" s="13">
        <f t="shared" si="5"/>
        <v>0</v>
      </c>
      <c r="G44" s="14">
        <f>BATCH19!D16</f>
        <v>23.4</v>
      </c>
      <c r="H44" s="15" t="str">
        <f t="shared" si="6"/>
        <v>In</v>
      </c>
      <c r="I44" s="15" t="str">
        <f t="shared" si="7"/>
        <v>Yes</v>
      </c>
      <c r="J44" s="16">
        <f t="shared" si="8"/>
        <v>55.523400000000002</v>
      </c>
      <c r="K44" s="17">
        <f>RANK(J44,$J$31:$J$130,1)+COUNTIF($J$31:J44,J44)-1</f>
        <v>56</v>
      </c>
      <c r="L44" s="26">
        <f>IFERROR(MATCH(O44,GROUPS!$B$15:$B$50,0),"")</f>
        <v>2</v>
      </c>
      <c r="M44" s="13">
        <f t="shared" si="9"/>
        <v>54</v>
      </c>
      <c r="N44" s="13">
        <f t="shared" si="10"/>
        <v>23</v>
      </c>
      <c r="O44" t="str">
        <f t="shared" si="11"/>
        <v>54.0 lb / 23.0 g</v>
      </c>
      <c r="P44" s="18">
        <f t="shared" si="12"/>
        <v>9</v>
      </c>
      <c r="Y44" s="12">
        <f t="shared" si="13"/>
        <v>55.5</v>
      </c>
      <c r="Z44" s="12">
        <f t="shared" si="14"/>
        <v>23.4</v>
      </c>
      <c r="AA44" s="12" t="e">
        <f t="shared" si="15"/>
        <v>#N/A</v>
      </c>
    </row>
    <row r="45" spans="1:27" x14ac:dyDescent="0.25">
      <c r="A45" t="s">
        <v>120</v>
      </c>
      <c r="B45" s="10" t="str">
        <f>BATCH19!A17</f>
        <v>19-15</v>
      </c>
      <c r="C45" s="11">
        <f>BATCH19!B17</f>
        <v>56</v>
      </c>
      <c r="D45" s="11">
        <f>BATCH19!C17</f>
        <v>56</v>
      </c>
      <c r="E45" s="12">
        <f t="shared" si="4"/>
        <v>56</v>
      </c>
      <c r="F45" s="13">
        <f t="shared" si="5"/>
        <v>0</v>
      </c>
      <c r="G45" s="14">
        <f>BATCH19!D17</f>
        <v>23.44</v>
      </c>
      <c r="H45" s="15" t="str">
        <f t="shared" si="6"/>
        <v>In</v>
      </c>
      <c r="I45" s="15" t="str">
        <f t="shared" si="7"/>
        <v>Yes</v>
      </c>
      <c r="J45" s="16">
        <f t="shared" si="8"/>
        <v>56.023440000000001</v>
      </c>
      <c r="K45" s="17">
        <f>RANK(J45,$J$31:$J$130,1)+COUNTIF($J$31:J45,J45)-1</f>
        <v>67</v>
      </c>
      <c r="L45" s="26">
        <f>IFERROR(MATCH(O45,GROUPS!$B$15:$B$50,0),"")</f>
        <v>2</v>
      </c>
      <c r="M45" s="13">
        <f t="shared" si="9"/>
        <v>54</v>
      </c>
      <c r="N45" s="13">
        <f t="shared" si="10"/>
        <v>23</v>
      </c>
      <c r="O45" t="str">
        <f t="shared" si="11"/>
        <v>54.0 lb / 23.0 g</v>
      </c>
      <c r="P45" s="18">
        <f t="shared" si="12"/>
        <v>9</v>
      </c>
      <c r="Y45" s="12">
        <f t="shared" si="13"/>
        <v>56</v>
      </c>
      <c r="Z45" s="12">
        <f t="shared" si="14"/>
        <v>23.44</v>
      </c>
      <c r="AA45" s="12" t="e">
        <f t="shared" si="15"/>
        <v>#N/A</v>
      </c>
    </row>
    <row r="46" spans="1:27" x14ac:dyDescent="0.25">
      <c r="A46" t="s">
        <v>120</v>
      </c>
      <c r="B46" s="10" t="str">
        <f>BATCH19!A18</f>
        <v>19-16</v>
      </c>
      <c r="C46" s="11">
        <f>BATCH19!B18</f>
        <v>56</v>
      </c>
      <c r="D46" s="11">
        <f>BATCH19!C18</f>
        <v>56</v>
      </c>
      <c r="E46" s="12">
        <f t="shared" si="4"/>
        <v>56</v>
      </c>
      <c r="F46" s="13">
        <f t="shared" si="5"/>
        <v>0</v>
      </c>
      <c r="G46" s="14">
        <f>BATCH19!D18</f>
        <v>21.93</v>
      </c>
      <c r="H46" s="15" t="str">
        <f t="shared" si="6"/>
        <v>In</v>
      </c>
      <c r="I46" s="15" t="str">
        <f t="shared" si="7"/>
        <v>Yes</v>
      </c>
      <c r="J46" s="16">
        <f t="shared" si="8"/>
        <v>56.021929999999998</v>
      </c>
      <c r="K46" s="17">
        <f>RANK(J46,$J$31:$J$130,1)+COUNTIF($J$31:J46,J46)-1</f>
        <v>61</v>
      </c>
      <c r="L46" s="26">
        <f>IFERROR(MATCH(O46,GROUPS!$B$15:$B$50,0),"")</f>
        <v>11</v>
      </c>
      <c r="M46" s="13">
        <f t="shared" si="9"/>
        <v>54</v>
      </c>
      <c r="N46" s="13">
        <f t="shared" si="10"/>
        <v>21.5</v>
      </c>
      <c r="O46" t="str">
        <f t="shared" si="11"/>
        <v>54.0 lb / 21.5 g</v>
      </c>
      <c r="P46" s="18">
        <f t="shared" si="12"/>
        <v>4</v>
      </c>
      <c r="Y46" s="12">
        <f t="shared" si="13"/>
        <v>56</v>
      </c>
      <c r="Z46" s="12">
        <f t="shared" si="14"/>
        <v>21.93</v>
      </c>
      <c r="AA46" s="12" t="e">
        <f t="shared" si="15"/>
        <v>#N/A</v>
      </c>
    </row>
    <row r="47" spans="1:27" x14ac:dyDescent="0.25">
      <c r="A47" t="s">
        <v>120</v>
      </c>
      <c r="B47" s="10" t="str">
        <f>BATCH19!A19</f>
        <v>19-17</v>
      </c>
      <c r="C47" s="11">
        <f>BATCH19!B19</f>
        <v>57</v>
      </c>
      <c r="D47" s="11">
        <f>BATCH19!C19</f>
        <v>56</v>
      </c>
      <c r="E47" s="12">
        <f t="shared" si="4"/>
        <v>56.5</v>
      </c>
      <c r="F47" s="13">
        <f t="shared" si="5"/>
        <v>1</v>
      </c>
      <c r="G47" s="14">
        <f>BATCH19!D19</f>
        <v>25.22</v>
      </c>
      <c r="H47" s="15" t="str">
        <f t="shared" si="6"/>
        <v>In</v>
      </c>
      <c r="I47" s="15" t="str">
        <f t="shared" si="7"/>
        <v>Yes</v>
      </c>
      <c r="J47" s="16">
        <f t="shared" si="8"/>
        <v>56.525219999999997</v>
      </c>
      <c r="K47" s="17">
        <f>RANK(J47,$J$31:$J$130,1)+COUNTIF($J$31:J47,J47)-1</f>
        <v>77</v>
      </c>
      <c r="L47" s="26">
        <f>IFERROR(MATCH(O47,GROUPS!$B$15:$B$50,0),"")</f>
        <v>4</v>
      </c>
      <c r="M47" s="13">
        <f t="shared" si="9"/>
        <v>54</v>
      </c>
      <c r="N47" s="13">
        <f t="shared" si="10"/>
        <v>25</v>
      </c>
      <c r="O47" t="str">
        <f t="shared" si="11"/>
        <v>54.0 lb / 25.0 g</v>
      </c>
      <c r="P47" s="18">
        <f t="shared" si="12"/>
        <v>6</v>
      </c>
      <c r="Y47" s="12">
        <f t="shared" si="13"/>
        <v>56.5</v>
      </c>
      <c r="Z47" s="12">
        <f t="shared" si="14"/>
        <v>25.22</v>
      </c>
      <c r="AA47" s="12" t="e">
        <f t="shared" si="15"/>
        <v>#N/A</v>
      </c>
    </row>
    <row r="48" spans="1:27" x14ac:dyDescent="0.25">
      <c r="A48" t="s">
        <v>120</v>
      </c>
      <c r="B48" s="10" t="str">
        <f>BATCH19!A20</f>
        <v>19-18</v>
      </c>
      <c r="C48" s="11">
        <f>BATCH19!B20</f>
        <v>52</v>
      </c>
      <c r="D48" s="11">
        <f>BATCH19!C20</f>
        <v>52</v>
      </c>
      <c r="E48" s="12">
        <f t="shared" si="4"/>
        <v>52</v>
      </c>
      <c r="F48" s="13">
        <f t="shared" si="5"/>
        <v>0</v>
      </c>
      <c r="G48" s="14">
        <f>BATCH19!D20</f>
        <v>21.66</v>
      </c>
      <c r="H48" s="15" t="str">
        <f t="shared" si="6"/>
        <v>Under</v>
      </c>
      <c r="I48" s="15" t="str">
        <f t="shared" si="7"/>
        <v>Yes</v>
      </c>
      <c r="J48" s="16">
        <f t="shared" si="8"/>
        <v>52.021659999999997</v>
      </c>
      <c r="K48" s="17">
        <f>RANK(J48,$J$31:$J$130,1)+COUNTIF($J$31:J48,J48)-1</f>
        <v>6</v>
      </c>
      <c r="L48" s="26">
        <f>IFERROR(MATCH(O48,GROUPS!$B$15:$B$50,0),"")</f>
        <v>3</v>
      </c>
      <c r="M48" s="13">
        <f t="shared" si="9"/>
        <v>51</v>
      </c>
      <c r="N48" s="13">
        <f t="shared" si="10"/>
        <v>21.5</v>
      </c>
      <c r="O48" t="str">
        <f t="shared" si="11"/>
        <v>51.0 lb / 21.5 g</v>
      </c>
      <c r="P48" s="18">
        <f t="shared" si="12"/>
        <v>6</v>
      </c>
      <c r="Y48" s="12">
        <f t="shared" si="13"/>
        <v>52</v>
      </c>
      <c r="Z48" s="12">
        <f t="shared" si="14"/>
        <v>21.66</v>
      </c>
      <c r="AA48" s="12" t="e">
        <f t="shared" si="15"/>
        <v>#N/A</v>
      </c>
    </row>
    <row r="49" spans="1:27" x14ac:dyDescent="0.25">
      <c r="A49" t="s">
        <v>120</v>
      </c>
      <c r="B49" s="10" t="str">
        <f>BATCH19!A21</f>
        <v>19-19</v>
      </c>
      <c r="C49" s="11">
        <f>BATCH19!B21</f>
        <v>56</v>
      </c>
      <c r="D49" s="11">
        <f>BATCH19!C21</f>
        <v>55</v>
      </c>
      <c r="E49" s="12">
        <f t="shared" si="4"/>
        <v>55.5</v>
      </c>
      <c r="F49" s="13">
        <f t="shared" si="5"/>
        <v>1</v>
      </c>
      <c r="G49" s="14">
        <f>BATCH19!D21</f>
        <v>21.7</v>
      </c>
      <c r="H49" s="15" t="str">
        <f t="shared" si="6"/>
        <v>In</v>
      </c>
      <c r="I49" s="15" t="str">
        <f t="shared" si="7"/>
        <v>Yes</v>
      </c>
      <c r="J49" s="16">
        <f t="shared" si="8"/>
        <v>55.521700000000003</v>
      </c>
      <c r="K49" s="17">
        <f>RANK(J49,$J$31:$J$130,1)+COUNTIF($J$31:J49,J49)-1</f>
        <v>52</v>
      </c>
      <c r="L49" s="26">
        <f>IFERROR(MATCH(O49,GROUPS!$B$15:$B$50,0),"")</f>
        <v>11</v>
      </c>
      <c r="M49" s="13">
        <f t="shared" si="9"/>
        <v>54</v>
      </c>
      <c r="N49" s="13">
        <f t="shared" si="10"/>
        <v>21.5</v>
      </c>
      <c r="O49" t="str">
        <f t="shared" si="11"/>
        <v>54.0 lb / 21.5 g</v>
      </c>
      <c r="P49" s="18">
        <f t="shared" si="12"/>
        <v>4</v>
      </c>
      <c r="Y49" s="12">
        <f t="shared" si="13"/>
        <v>55.5</v>
      </c>
      <c r="Z49" s="12">
        <f t="shared" si="14"/>
        <v>21.7</v>
      </c>
      <c r="AA49" s="12" t="e">
        <f t="shared" si="15"/>
        <v>#N/A</v>
      </c>
    </row>
    <row r="50" spans="1:27" x14ac:dyDescent="0.25">
      <c r="A50" t="s">
        <v>120</v>
      </c>
      <c r="B50" s="10" t="str">
        <f>BATCH19!A22</f>
        <v>19-20</v>
      </c>
      <c r="C50" s="11">
        <f>BATCH19!B22</f>
        <v>55</v>
      </c>
      <c r="D50" s="11">
        <f>BATCH19!C22</f>
        <v>55</v>
      </c>
      <c r="E50" s="12">
        <f t="shared" si="4"/>
        <v>55</v>
      </c>
      <c r="F50" s="13">
        <f t="shared" si="5"/>
        <v>0</v>
      </c>
      <c r="G50" s="14">
        <f>BATCH19!D22</f>
        <v>22.98</v>
      </c>
      <c r="H50" s="15" t="str">
        <f t="shared" si="6"/>
        <v>In</v>
      </c>
      <c r="I50" s="15" t="str">
        <f t="shared" si="7"/>
        <v>Yes</v>
      </c>
      <c r="J50" s="16">
        <f t="shared" si="8"/>
        <v>55.022979999999997</v>
      </c>
      <c r="K50" s="17">
        <f>RANK(J50,$J$31:$J$130,1)+COUNTIF($J$31:J50,J50)-1</f>
        <v>34</v>
      </c>
      <c r="L50" s="26">
        <f>IFERROR(MATCH(O50,GROUPS!$B$15:$B$50,0),"")</f>
        <v>12</v>
      </c>
      <c r="M50" s="13">
        <f t="shared" si="9"/>
        <v>54</v>
      </c>
      <c r="N50" s="13">
        <f t="shared" si="10"/>
        <v>22.5</v>
      </c>
      <c r="O50" t="str">
        <f t="shared" si="11"/>
        <v>54.0 lb / 22.5 g</v>
      </c>
      <c r="P50" s="18">
        <f t="shared" si="12"/>
        <v>4</v>
      </c>
      <c r="Y50" s="12">
        <f t="shared" si="13"/>
        <v>55</v>
      </c>
      <c r="Z50" s="12">
        <f t="shared" si="14"/>
        <v>22.98</v>
      </c>
      <c r="AA50" s="12" t="e">
        <f t="shared" si="15"/>
        <v>#N/A</v>
      </c>
    </row>
    <row r="51" spans="1:27" x14ac:dyDescent="0.25">
      <c r="A51" t="s">
        <v>120</v>
      </c>
      <c r="B51" s="10" t="str">
        <f>BATCH19!A23</f>
        <v>19-21</v>
      </c>
      <c r="C51" s="11">
        <f>BATCH19!B23</f>
        <v>56</v>
      </c>
      <c r="D51" s="11">
        <f>BATCH19!C23</f>
        <v>56</v>
      </c>
      <c r="E51" s="12">
        <f t="shared" si="4"/>
        <v>56</v>
      </c>
      <c r="F51" s="13">
        <f t="shared" si="5"/>
        <v>0</v>
      </c>
      <c r="G51" s="14">
        <f>BATCH19!D23</f>
        <v>25.62</v>
      </c>
      <c r="H51" s="15" t="str">
        <f t="shared" si="6"/>
        <v>In</v>
      </c>
      <c r="I51" s="15" t="str">
        <f t="shared" si="7"/>
        <v>Yes</v>
      </c>
      <c r="J51" s="16">
        <f t="shared" si="8"/>
        <v>56.025620000000004</v>
      </c>
      <c r="K51" s="17">
        <f>RANK(J51,$J$31:$J$130,1)+COUNTIF($J$31:J51,J51)-1</f>
        <v>75</v>
      </c>
      <c r="L51" s="26">
        <f>IFERROR(MATCH(O51,GROUPS!$B$15:$B$50,0),"")</f>
        <v>8</v>
      </c>
      <c r="M51" s="13">
        <f t="shared" si="9"/>
        <v>54</v>
      </c>
      <c r="N51" s="13">
        <f t="shared" si="10"/>
        <v>25.5</v>
      </c>
      <c r="O51" t="str">
        <f t="shared" si="11"/>
        <v>54.0 lb / 25.5 g</v>
      </c>
      <c r="P51" s="18">
        <f t="shared" si="12"/>
        <v>5</v>
      </c>
      <c r="Y51" s="12">
        <f t="shared" si="13"/>
        <v>56</v>
      </c>
      <c r="Z51" s="12">
        <f t="shared" si="14"/>
        <v>25.62</v>
      </c>
      <c r="AA51" s="12" t="e">
        <f t="shared" si="15"/>
        <v>#N/A</v>
      </c>
    </row>
    <row r="52" spans="1:27" x14ac:dyDescent="0.25">
      <c r="A52" t="s">
        <v>120</v>
      </c>
      <c r="B52" s="10" t="str">
        <f>BATCH19!A24</f>
        <v>19-22</v>
      </c>
      <c r="C52" s="11">
        <f>BATCH19!B24</f>
        <v>55.5</v>
      </c>
      <c r="D52" s="11">
        <f>BATCH19!C24</f>
        <v>55.5</v>
      </c>
      <c r="E52" s="12">
        <f t="shared" si="4"/>
        <v>55.5</v>
      </c>
      <c r="F52" s="13">
        <f t="shared" si="5"/>
        <v>0</v>
      </c>
      <c r="G52" s="14">
        <f>BATCH19!D24</f>
        <v>23.25</v>
      </c>
      <c r="H52" s="15" t="str">
        <f t="shared" si="6"/>
        <v>In</v>
      </c>
      <c r="I52" s="15" t="str">
        <f t="shared" si="7"/>
        <v>Yes</v>
      </c>
      <c r="J52" s="16">
        <f t="shared" si="8"/>
        <v>55.523249999999997</v>
      </c>
      <c r="K52" s="17">
        <f>RANK(J52,$J$31:$J$130,1)+COUNTIF($J$31:J52,J52)-1</f>
        <v>55</v>
      </c>
      <c r="L52" s="26">
        <f>IFERROR(MATCH(O52,GROUPS!$B$15:$B$50,0),"")</f>
        <v>2</v>
      </c>
      <c r="M52" s="13">
        <f t="shared" si="9"/>
        <v>54</v>
      </c>
      <c r="N52" s="13">
        <f t="shared" si="10"/>
        <v>23</v>
      </c>
      <c r="O52" t="str">
        <f t="shared" si="11"/>
        <v>54.0 lb / 23.0 g</v>
      </c>
      <c r="P52" s="18">
        <f t="shared" si="12"/>
        <v>9</v>
      </c>
      <c r="Y52" s="12">
        <f t="shared" si="13"/>
        <v>55.5</v>
      </c>
      <c r="Z52" s="12">
        <f t="shared" si="14"/>
        <v>23.25</v>
      </c>
      <c r="AA52" s="12" t="e">
        <f t="shared" si="15"/>
        <v>#N/A</v>
      </c>
    </row>
    <row r="53" spans="1:27" x14ac:dyDescent="0.25">
      <c r="A53" t="s">
        <v>120</v>
      </c>
      <c r="B53" s="10" t="str">
        <f>BATCH19!A25</f>
        <v>19-23</v>
      </c>
      <c r="C53" s="11">
        <f>BATCH19!B25</f>
        <v>55</v>
      </c>
      <c r="D53" s="11">
        <f>BATCH19!C25</f>
        <v>55</v>
      </c>
      <c r="E53" s="12">
        <f t="shared" si="4"/>
        <v>55</v>
      </c>
      <c r="F53" s="13">
        <f t="shared" si="5"/>
        <v>0</v>
      </c>
      <c r="G53" s="14">
        <f>BATCH19!D25</f>
        <v>25.09</v>
      </c>
      <c r="H53" s="15" t="str">
        <f t="shared" si="6"/>
        <v>In</v>
      </c>
      <c r="I53" s="15" t="str">
        <f t="shared" si="7"/>
        <v>Yes</v>
      </c>
      <c r="J53" s="16">
        <f t="shared" si="8"/>
        <v>55.025089999999999</v>
      </c>
      <c r="K53" s="17">
        <f>RANK(J53,$J$31:$J$130,1)+COUNTIF($J$31:J53,J53)-1</f>
        <v>47</v>
      </c>
      <c r="L53" s="26">
        <f>IFERROR(MATCH(O53,GROUPS!$B$15:$B$50,0),"")</f>
        <v>4</v>
      </c>
      <c r="M53" s="13">
        <f t="shared" si="9"/>
        <v>54</v>
      </c>
      <c r="N53" s="13">
        <f t="shared" si="10"/>
        <v>25</v>
      </c>
      <c r="O53" t="str">
        <f t="shared" si="11"/>
        <v>54.0 lb / 25.0 g</v>
      </c>
      <c r="P53" s="18">
        <f t="shared" si="12"/>
        <v>6</v>
      </c>
      <c r="Y53" s="12">
        <f t="shared" si="13"/>
        <v>55</v>
      </c>
      <c r="Z53" s="12">
        <f t="shared" si="14"/>
        <v>25.09</v>
      </c>
      <c r="AA53" s="12" t="e">
        <f t="shared" si="15"/>
        <v>#N/A</v>
      </c>
    </row>
    <row r="54" spans="1:27" x14ac:dyDescent="0.25">
      <c r="A54" t="s">
        <v>120</v>
      </c>
      <c r="B54" s="10" t="str">
        <f>BATCH19!A26</f>
        <v>19-24</v>
      </c>
      <c r="C54" s="11">
        <f>BATCH19!B26</f>
        <v>59</v>
      </c>
      <c r="D54" s="11">
        <f>BATCH19!C26</f>
        <v>59</v>
      </c>
      <c r="E54" s="12">
        <f t="shared" si="4"/>
        <v>59</v>
      </c>
      <c r="F54" s="13">
        <f t="shared" si="5"/>
        <v>0</v>
      </c>
      <c r="G54" s="14">
        <f>BATCH19!D26</f>
        <v>23.29</v>
      </c>
      <c r="H54" s="15" t="str">
        <f t="shared" si="6"/>
        <v>In</v>
      </c>
      <c r="I54" s="15" t="str">
        <f t="shared" si="7"/>
        <v>Yes</v>
      </c>
      <c r="J54" s="16">
        <f t="shared" si="8"/>
        <v>59.023290000000003</v>
      </c>
      <c r="K54" s="17">
        <f>RANK(J54,$J$31:$J$130,1)+COUNTIF($J$31:J54,J54)-1</f>
        <v>98</v>
      </c>
      <c r="L54" s="26">
        <f>IFERROR(MATCH(O54,GROUPS!$B$15:$B$50,0),"")</f>
        <v>13</v>
      </c>
      <c r="M54" s="13">
        <f t="shared" si="9"/>
        <v>57</v>
      </c>
      <c r="N54" s="13">
        <f t="shared" si="10"/>
        <v>23</v>
      </c>
      <c r="O54" t="str">
        <f t="shared" si="11"/>
        <v>57.0 lb / 23.0 g</v>
      </c>
      <c r="P54" s="18">
        <f t="shared" si="12"/>
        <v>4</v>
      </c>
      <c r="Y54" s="12">
        <f t="shared" si="13"/>
        <v>59</v>
      </c>
      <c r="Z54" s="12">
        <f t="shared" si="14"/>
        <v>23.29</v>
      </c>
      <c r="AA54" s="12" t="e">
        <f t="shared" si="15"/>
        <v>#N/A</v>
      </c>
    </row>
    <row r="55" spans="1:27" x14ac:dyDescent="0.25">
      <c r="A55" t="s">
        <v>120</v>
      </c>
      <c r="B55" s="10" t="str">
        <f>BATCH19!A27</f>
        <v>19-25</v>
      </c>
      <c r="C55" s="11">
        <f>BATCH19!B27</f>
        <v>58</v>
      </c>
      <c r="D55" s="11">
        <f>BATCH19!C27</f>
        <v>57</v>
      </c>
      <c r="E55" s="12">
        <f t="shared" si="4"/>
        <v>57.5</v>
      </c>
      <c r="F55" s="13">
        <f t="shared" si="5"/>
        <v>1</v>
      </c>
      <c r="G55" s="14">
        <f>BATCH19!D27</f>
        <v>24.15</v>
      </c>
      <c r="H55" s="15" t="str">
        <f t="shared" si="6"/>
        <v>In</v>
      </c>
      <c r="I55" s="15" t="str">
        <f t="shared" si="7"/>
        <v>Yes</v>
      </c>
      <c r="J55" s="16">
        <f t="shared" si="8"/>
        <v>57.524149999999999</v>
      </c>
      <c r="K55" s="17">
        <f>RANK(J55,$J$31:$J$130,1)+COUNTIF($J$31:J55,J55)-1</f>
        <v>83</v>
      </c>
      <c r="L55" s="26">
        <f>IFERROR(MATCH(O55,GROUPS!$B$15:$B$50,0),"")</f>
        <v>9</v>
      </c>
      <c r="M55" s="13">
        <f t="shared" si="9"/>
        <v>57</v>
      </c>
      <c r="N55" s="13">
        <f t="shared" si="10"/>
        <v>24</v>
      </c>
      <c r="O55" t="str">
        <f t="shared" si="11"/>
        <v>57.0 lb / 24.0 g</v>
      </c>
      <c r="P55" s="18">
        <f t="shared" si="12"/>
        <v>5</v>
      </c>
      <c r="Y55" s="12">
        <f t="shared" si="13"/>
        <v>57.5</v>
      </c>
      <c r="Z55" s="12">
        <f t="shared" si="14"/>
        <v>24.15</v>
      </c>
      <c r="AA55" s="12" t="e">
        <f t="shared" si="15"/>
        <v>#N/A</v>
      </c>
    </row>
    <row r="56" spans="1:27" x14ac:dyDescent="0.25">
      <c r="A56" t="s">
        <v>120</v>
      </c>
      <c r="B56" s="10" t="str">
        <f>BATCH19!A28</f>
        <v>19-26</v>
      </c>
      <c r="C56" s="11">
        <f>BATCH19!B28</f>
        <v>51</v>
      </c>
      <c r="D56" s="11">
        <f>BATCH19!C28</f>
        <v>51</v>
      </c>
      <c r="E56" s="12">
        <f t="shared" si="4"/>
        <v>51</v>
      </c>
      <c r="F56" s="13">
        <f t="shared" si="5"/>
        <v>0</v>
      </c>
      <c r="G56" s="14">
        <f>BATCH19!D28</f>
        <v>25.82</v>
      </c>
      <c r="H56" s="15" t="str">
        <f t="shared" si="6"/>
        <v>Under</v>
      </c>
      <c r="I56" s="15" t="str">
        <f t="shared" si="7"/>
        <v>Yes</v>
      </c>
      <c r="J56" s="16">
        <f t="shared" si="8"/>
        <v>51.025820000000003</v>
      </c>
      <c r="K56" s="17">
        <f>RANK(J56,$J$31:$J$130,1)+COUNTIF($J$31:J56,J56)-1</f>
        <v>3</v>
      </c>
      <c r="L56" s="26">
        <f>IFERROR(MATCH(O56,GROUPS!$B$15:$B$50,0),"")</f>
        <v>26</v>
      </c>
      <c r="M56" s="13">
        <f t="shared" si="9"/>
        <v>51</v>
      </c>
      <c r="N56" s="13">
        <f t="shared" si="10"/>
        <v>25.5</v>
      </c>
      <c r="O56" t="str">
        <f t="shared" si="11"/>
        <v>51.0 lb / 25.5 g</v>
      </c>
      <c r="P56" s="18">
        <f t="shared" si="12"/>
        <v>1</v>
      </c>
      <c r="Y56" s="12">
        <f t="shared" si="13"/>
        <v>51</v>
      </c>
      <c r="Z56" s="12">
        <f t="shared" si="14"/>
        <v>25.82</v>
      </c>
      <c r="AA56" s="12" t="e">
        <f t="shared" si="15"/>
        <v>#N/A</v>
      </c>
    </row>
    <row r="57" spans="1:27" x14ac:dyDescent="0.25">
      <c r="A57" t="s">
        <v>120</v>
      </c>
      <c r="B57" s="10" t="str">
        <f>BATCH19!A29</f>
        <v>19-27</v>
      </c>
      <c r="C57" s="11">
        <f>BATCH19!B29</f>
        <v>59</v>
      </c>
      <c r="D57" s="11">
        <f>BATCH19!C29</f>
        <v>59</v>
      </c>
      <c r="E57" s="12">
        <f t="shared" si="4"/>
        <v>59</v>
      </c>
      <c r="F57" s="13">
        <f t="shared" si="5"/>
        <v>0</v>
      </c>
      <c r="G57" s="14">
        <f>BATCH19!D29</f>
        <v>26.03</v>
      </c>
      <c r="H57" s="15" t="str">
        <f t="shared" si="6"/>
        <v>In</v>
      </c>
      <c r="I57" s="15" t="str">
        <f t="shared" si="7"/>
        <v>Yes</v>
      </c>
      <c r="J57" s="16">
        <f t="shared" si="8"/>
        <v>59.026029999999999</v>
      </c>
      <c r="K57" s="17">
        <f>RANK(J57,$J$31:$J$130,1)+COUNTIF($J$31:J57,J57)-1</f>
        <v>100</v>
      </c>
      <c r="L57" s="26">
        <f>IFERROR(MATCH(O57,GROUPS!$B$15:$B$50,0),"")</f>
        <v>22</v>
      </c>
      <c r="M57" s="13">
        <f t="shared" si="9"/>
        <v>57</v>
      </c>
      <c r="N57" s="13">
        <f t="shared" si="10"/>
        <v>26</v>
      </c>
      <c r="O57" t="str">
        <f t="shared" si="11"/>
        <v>57.0 lb / 26.0 g</v>
      </c>
      <c r="P57" s="18">
        <f t="shared" si="12"/>
        <v>2</v>
      </c>
      <c r="Y57" s="12">
        <f t="shared" si="13"/>
        <v>59</v>
      </c>
      <c r="Z57" s="12">
        <f t="shared" si="14"/>
        <v>26.03</v>
      </c>
      <c r="AA57" s="12" t="e">
        <f t="shared" si="15"/>
        <v>#N/A</v>
      </c>
    </row>
    <row r="58" spans="1:27" x14ac:dyDescent="0.25">
      <c r="A58" t="s">
        <v>120</v>
      </c>
      <c r="B58" s="10" t="str">
        <f>BATCH19!A30</f>
        <v>19-28</v>
      </c>
      <c r="C58" s="11">
        <f>BATCH19!B30</f>
        <v>54</v>
      </c>
      <c r="D58" s="11">
        <f>BATCH19!C30</f>
        <v>54</v>
      </c>
      <c r="E58" s="12">
        <f t="shared" si="4"/>
        <v>54</v>
      </c>
      <c r="F58" s="13">
        <f t="shared" si="5"/>
        <v>0</v>
      </c>
      <c r="G58" s="14">
        <f>BATCH19!D30</f>
        <v>23.49</v>
      </c>
      <c r="H58" s="15" t="str">
        <f t="shared" si="6"/>
        <v>In</v>
      </c>
      <c r="I58" s="15" t="str">
        <f t="shared" si="7"/>
        <v>Yes</v>
      </c>
      <c r="J58" s="16">
        <f t="shared" si="8"/>
        <v>54.023490000000002</v>
      </c>
      <c r="K58" s="17">
        <f>RANK(J58,$J$31:$J$130,1)+COUNTIF($J$31:J58,J58)-1</f>
        <v>27</v>
      </c>
      <c r="L58" s="26">
        <f>IFERROR(MATCH(O58,GROUPS!$B$15:$B$50,0),"")</f>
        <v>2</v>
      </c>
      <c r="M58" s="13">
        <f t="shared" si="9"/>
        <v>54</v>
      </c>
      <c r="N58" s="13">
        <f t="shared" si="10"/>
        <v>23</v>
      </c>
      <c r="O58" t="str">
        <f t="shared" si="11"/>
        <v>54.0 lb / 23.0 g</v>
      </c>
      <c r="P58" s="18">
        <f t="shared" si="12"/>
        <v>9</v>
      </c>
      <c r="Y58" s="12">
        <f t="shared" si="13"/>
        <v>54</v>
      </c>
      <c r="Z58" s="12">
        <f t="shared" si="14"/>
        <v>23.49</v>
      </c>
      <c r="AA58" s="12" t="e">
        <f t="shared" si="15"/>
        <v>#N/A</v>
      </c>
    </row>
    <row r="59" spans="1:27" x14ac:dyDescent="0.25">
      <c r="A59" t="s">
        <v>120</v>
      </c>
      <c r="B59" s="10" t="str">
        <f>BATCH19!A31</f>
        <v>19-29</v>
      </c>
      <c r="C59" s="11">
        <f>BATCH19!B31</f>
        <v>58</v>
      </c>
      <c r="D59" s="11">
        <f>BATCH19!C31</f>
        <v>58</v>
      </c>
      <c r="E59" s="12">
        <f t="shared" si="4"/>
        <v>58</v>
      </c>
      <c r="F59" s="13">
        <f t="shared" si="5"/>
        <v>0</v>
      </c>
      <c r="G59" s="14">
        <f>BATCH19!D31</f>
        <v>26.76</v>
      </c>
      <c r="H59" s="15" t="str">
        <f t="shared" si="6"/>
        <v>In</v>
      </c>
      <c r="I59" s="15" t="str">
        <f t="shared" si="7"/>
        <v>Yes</v>
      </c>
      <c r="J59" s="16">
        <f t="shared" si="8"/>
        <v>58.026760000000003</v>
      </c>
      <c r="K59" s="17">
        <f>RANK(J59,$J$31:$J$130,1)+COUNTIF($J$31:J59,J59)-1</f>
        <v>94</v>
      </c>
      <c r="L59" s="26">
        <f>IFERROR(MATCH(O59,GROUPS!$B$15:$B$50,0),"")</f>
        <v>29</v>
      </c>
      <c r="M59" s="13">
        <f t="shared" si="9"/>
        <v>57</v>
      </c>
      <c r="N59" s="13">
        <f t="shared" si="10"/>
        <v>26.5</v>
      </c>
      <c r="O59" t="str">
        <f t="shared" si="11"/>
        <v>57.0 lb / 26.5 g</v>
      </c>
      <c r="P59" s="18">
        <f t="shared" si="12"/>
        <v>1</v>
      </c>
      <c r="Y59" s="12">
        <f t="shared" si="13"/>
        <v>58</v>
      </c>
      <c r="Z59" s="12">
        <f t="shared" si="14"/>
        <v>26.76</v>
      </c>
      <c r="AA59" s="12" t="e">
        <f t="shared" si="15"/>
        <v>#N/A</v>
      </c>
    </row>
    <row r="60" spans="1:27" x14ac:dyDescent="0.25">
      <c r="A60" t="s">
        <v>120</v>
      </c>
      <c r="B60" s="10" t="str">
        <f>BATCH19!A32</f>
        <v>19-30</v>
      </c>
      <c r="C60" s="11">
        <f>BATCH19!B32</f>
        <v>59</v>
      </c>
      <c r="D60" s="11">
        <f>BATCH19!C32</f>
        <v>58</v>
      </c>
      <c r="E60" s="12">
        <f t="shared" si="4"/>
        <v>58.5</v>
      </c>
      <c r="F60" s="13">
        <f t="shared" si="5"/>
        <v>1</v>
      </c>
      <c r="G60" s="14">
        <f>BATCH19!D32</f>
        <v>25.48</v>
      </c>
      <c r="H60" s="15" t="str">
        <f t="shared" si="6"/>
        <v>In</v>
      </c>
      <c r="I60" s="15" t="str">
        <f t="shared" si="7"/>
        <v>Yes</v>
      </c>
      <c r="J60" s="16">
        <f t="shared" si="8"/>
        <v>58.525480000000002</v>
      </c>
      <c r="K60" s="17">
        <f>RANK(J60,$J$31:$J$130,1)+COUNTIF($J$31:J60,J60)-1</f>
        <v>97</v>
      </c>
      <c r="L60" s="26">
        <f>IFERROR(MATCH(O60,GROUPS!$B$15:$B$50,0),"")</f>
        <v>15</v>
      </c>
      <c r="M60" s="13">
        <f t="shared" si="9"/>
        <v>57</v>
      </c>
      <c r="N60" s="13">
        <f t="shared" si="10"/>
        <v>25</v>
      </c>
      <c r="O60" t="str">
        <f t="shared" si="11"/>
        <v>57.0 lb / 25.0 g</v>
      </c>
      <c r="P60" s="18">
        <f t="shared" si="12"/>
        <v>3</v>
      </c>
      <c r="Y60" s="12">
        <f t="shared" si="13"/>
        <v>58.5</v>
      </c>
      <c r="Z60" s="12">
        <f t="shared" si="14"/>
        <v>25.48</v>
      </c>
      <c r="AA60" s="12" t="e">
        <f t="shared" si="15"/>
        <v>#N/A</v>
      </c>
    </row>
    <row r="61" spans="1:27" x14ac:dyDescent="0.25">
      <c r="A61" t="s">
        <v>120</v>
      </c>
      <c r="B61" s="10" t="str">
        <f>BATCH19!A33</f>
        <v>19-31</v>
      </c>
      <c r="C61" s="11">
        <f>BATCH19!B33</f>
        <v>56</v>
      </c>
      <c r="D61" s="11">
        <f>BATCH19!C33</f>
        <v>55</v>
      </c>
      <c r="E61" s="12">
        <f t="shared" si="4"/>
        <v>55.5</v>
      </c>
      <c r="F61" s="13">
        <f t="shared" si="5"/>
        <v>1</v>
      </c>
      <c r="G61" s="14">
        <f>BATCH19!D33</f>
        <v>25.52</v>
      </c>
      <c r="H61" s="15" t="str">
        <f t="shared" si="6"/>
        <v>In</v>
      </c>
      <c r="I61" s="15" t="str">
        <f t="shared" si="7"/>
        <v>Yes</v>
      </c>
      <c r="J61" s="16">
        <f t="shared" si="8"/>
        <v>55.52552</v>
      </c>
      <c r="K61" s="17">
        <f>RANK(J61,$J$31:$J$130,1)+COUNTIF($J$31:J61,J61)-1</f>
        <v>58</v>
      </c>
      <c r="L61" s="26">
        <f>IFERROR(MATCH(O61,GROUPS!$B$15:$B$50,0),"")</f>
        <v>8</v>
      </c>
      <c r="M61" s="13">
        <f t="shared" si="9"/>
        <v>54</v>
      </c>
      <c r="N61" s="13">
        <f t="shared" si="10"/>
        <v>25.5</v>
      </c>
      <c r="O61" t="str">
        <f t="shared" si="11"/>
        <v>54.0 lb / 25.5 g</v>
      </c>
      <c r="P61" s="18">
        <f t="shared" si="12"/>
        <v>5</v>
      </c>
      <c r="Y61" s="12">
        <f t="shared" si="13"/>
        <v>55.5</v>
      </c>
      <c r="Z61" s="12">
        <f t="shared" si="14"/>
        <v>25.52</v>
      </c>
      <c r="AA61" s="12" t="e">
        <f t="shared" si="15"/>
        <v>#N/A</v>
      </c>
    </row>
    <row r="62" spans="1:27" x14ac:dyDescent="0.25">
      <c r="A62" t="s">
        <v>120</v>
      </c>
      <c r="B62" s="10" t="str">
        <f>BATCH19!A34</f>
        <v>19-32</v>
      </c>
      <c r="C62" s="11">
        <f>BATCH19!B34</f>
        <v>57</v>
      </c>
      <c r="D62" s="11">
        <f>BATCH19!C34</f>
        <v>57</v>
      </c>
      <c r="E62" s="12">
        <f t="shared" si="4"/>
        <v>57</v>
      </c>
      <c r="F62" s="13">
        <f t="shared" si="5"/>
        <v>0</v>
      </c>
      <c r="G62" s="14">
        <f>BATCH19!D34</f>
        <v>22.86</v>
      </c>
      <c r="H62" s="15" t="str">
        <f t="shared" si="6"/>
        <v>In</v>
      </c>
      <c r="I62" s="15" t="str">
        <f t="shared" si="7"/>
        <v>Yes</v>
      </c>
      <c r="J62" s="16">
        <f t="shared" si="8"/>
        <v>57.022860000000001</v>
      </c>
      <c r="K62" s="17">
        <f>RANK(J62,$J$31:$J$130,1)+COUNTIF($J$31:J62,J62)-1</f>
        <v>78</v>
      </c>
      <c r="L62" s="26">
        <f>IFERROR(MATCH(O62,GROUPS!$B$15:$B$50,0),"")</f>
        <v>28</v>
      </c>
      <c r="M62" s="13">
        <f t="shared" si="9"/>
        <v>57</v>
      </c>
      <c r="N62" s="13">
        <f t="shared" si="10"/>
        <v>22.5</v>
      </c>
      <c r="O62" t="str">
        <f t="shared" si="11"/>
        <v>57.0 lb / 22.5 g</v>
      </c>
      <c r="P62" s="18">
        <f t="shared" si="12"/>
        <v>1</v>
      </c>
      <c r="Y62" s="12">
        <f t="shared" si="13"/>
        <v>57</v>
      </c>
      <c r="Z62" s="12">
        <f t="shared" si="14"/>
        <v>22.86</v>
      </c>
      <c r="AA62" s="12" t="e">
        <f t="shared" si="15"/>
        <v>#N/A</v>
      </c>
    </row>
    <row r="63" spans="1:27" x14ac:dyDescent="0.25">
      <c r="A63" t="s">
        <v>120</v>
      </c>
      <c r="B63" s="10" t="str">
        <f>BATCH19!A35</f>
        <v>19-33</v>
      </c>
      <c r="C63" s="11">
        <f>BATCH19!B35</f>
        <v>58</v>
      </c>
      <c r="D63" s="11">
        <f>BATCH19!C35</f>
        <v>58</v>
      </c>
      <c r="E63" s="12">
        <f t="shared" si="4"/>
        <v>58</v>
      </c>
      <c r="F63" s="13">
        <f t="shared" si="5"/>
        <v>0</v>
      </c>
      <c r="G63" s="14">
        <f>BATCH19!D35</f>
        <v>23.24</v>
      </c>
      <c r="H63" s="15" t="str">
        <f t="shared" si="6"/>
        <v>In</v>
      </c>
      <c r="I63" s="15" t="str">
        <f t="shared" si="7"/>
        <v>Yes</v>
      </c>
      <c r="J63" s="16">
        <f t="shared" si="8"/>
        <v>58.023240000000001</v>
      </c>
      <c r="K63" s="17">
        <f>RANK(J63,$J$31:$J$130,1)+COUNTIF($J$31:J63,J63)-1</f>
        <v>88</v>
      </c>
      <c r="L63" s="26">
        <f>IFERROR(MATCH(O63,GROUPS!$B$15:$B$50,0),"")</f>
        <v>13</v>
      </c>
      <c r="M63" s="13">
        <f t="shared" si="9"/>
        <v>57</v>
      </c>
      <c r="N63" s="13">
        <f t="shared" si="10"/>
        <v>23</v>
      </c>
      <c r="O63" t="str">
        <f t="shared" si="11"/>
        <v>57.0 lb / 23.0 g</v>
      </c>
      <c r="P63" s="18">
        <f t="shared" si="12"/>
        <v>4</v>
      </c>
      <c r="Y63" s="12">
        <f t="shared" si="13"/>
        <v>58</v>
      </c>
      <c r="Z63" s="12">
        <f t="shared" si="14"/>
        <v>23.24</v>
      </c>
      <c r="AA63" s="12" t="e">
        <f t="shared" si="15"/>
        <v>#N/A</v>
      </c>
    </row>
    <row r="64" spans="1:27" x14ac:dyDescent="0.25">
      <c r="A64" t="s">
        <v>120</v>
      </c>
      <c r="B64" s="10" t="str">
        <f>BATCH19!A36</f>
        <v>19-34</v>
      </c>
      <c r="C64" s="11">
        <f>BATCH19!B36</f>
        <v>56</v>
      </c>
      <c r="D64" s="11">
        <f>BATCH19!C36</f>
        <v>56</v>
      </c>
      <c r="E64" s="12">
        <f t="shared" si="4"/>
        <v>56</v>
      </c>
      <c r="F64" s="13">
        <f t="shared" si="5"/>
        <v>0</v>
      </c>
      <c r="G64" s="14">
        <f>BATCH19!D36</f>
        <v>22.34</v>
      </c>
      <c r="H64" s="15" t="str">
        <f t="shared" si="6"/>
        <v>In</v>
      </c>
      <c r="I64" s="15" t="str">
        <f t="shared" si="7"/>
        <v>Yes</v>
      </c>
      <c r="J64" s="16">
        <f t="shared" si="8"/>
        <v>56.02234</v>
      </c>
      <c r="K64" s="17">
        <f>RANK(J64,$J$31:$J$130,1)+COUNTIF($J$31:J64,J64)-1</f>
        <v>63</v>
      </c>
      <c r="L64" s="26">
        <f>IFERROR(MATCH(O64,GROUPS!$B$15:$B$50,0),"")</f>
        <v>6</v>
      </c>
      <c r="M64" s="13">
        <f t="shared" si="9"/>
        <v>54</v>
      </c>
      <c r="N64" s="13">
        <f t="shared" si="10"/>
        <v>22</v>
      </c>
      <c r="O64" t="str">
        <f t="shared" si="11"/>
        <v>54.0 lb / 22.0 g</v>
      </c>
      <c r="P64" s="18">
        <f t="shared" si="12"/>
        <v>5</v>
      </c>
      <c r="Y64" s="12">
        <f t="shared" si="13"/>
        <v>56</v>
      </c>
      <c r="Z64" s="12">
        <f t="shared" si="14"/>
        <v>22.34</v>
      </c>
      <c r="AA64" s="12" t="e">
        <f t="shared" si="15"/>
        <v>#N/A</v>
      </c>
    </row>
    <row r="65" spans="1:27" x14ac:dyDescent="0.25">
      <c r="A65" t="s">
        <v>120</v>
      </c>
      <c r="B65" s="10" t="str">
        <f>BATCH19!A37</f>
        <v>19-35</v>
      </c>
      <c r="C65" s="11">
        <f>BATCH19!B37</f>
        <v>54</v>
      </c>
      <c r="D65" s="11">
        <f>BATCH19!C37</f>
        <v>54</v>
      </c>
      <c r="E65" s="12">
        <f t="shared" si="4"/>
        <v>54</v>
      </c>
      <c r="F65" s="13">
        <f t="shared" si="5"/>
        <v>0</v>
      </c>
      <c r="G65" s="14">
        <f>BATCH19!D37</f>
        <v>23.47</v>
      </c>
      <c r="H65" s="15" t="str">
        <f t="shared" si="6"/>
        <v>In</v>
      </c>
      <c r="I65" s="15" t="str">
        <f t="shared" si="7"/>
        <v>Yes</v>
      </c>
      <c r="J65" s="16">
        <f t="shared" si="8"/>
        <v>54.023470000000003</v>
      </c>
      <c r="K65" s="17">
        <f>RANK(J65,$J$31:$J$130,1)+COUNTIF($J$31:J65,J65)-1</f>
        <v>26</v>
      </c>
      <c r="L65" s="26">
        <f>IFERROR(MATCH(O65,GROUPS!$B$15:$B$50,0),"")</f>
        <v>2</v>
      </c>
      <c r="M65" s="13">
        <f t="shared" si="9"/>
        <v>54</v>
      </c>
      <c r="N65" s="13">
        <f t="shared" si="10"/>
        <v>23</v>
      </c>
      <c r="O65" t="str">
        <f t="shared" si="11"/>
        <v>54.0 lb / 23.0 g</v>
      </c>
      <c r="P65" s="18">
        <f t="shared" si="12"/>
        <v>9</v>
      </c>
      <c r="Y65" s="12">
        <f t="shared" si="13"/>
        <v>54</v>
      </c>
      <c r="Z65" s="12">
        <f t="shared" si="14"/>
        <v>23.47</v>
      </c>
      <c r="AA65" s="12" t="e">
        <f t="shared" si="15"/>
        <v>#N/A</v>
      </c>
    </row>
    <row r="66" spans="1:27" x14ac:dyDescent="0.25">
      <c r="A66" t="s">
        <v>120</v>
      </c>
      <c r="B66" s="10" t="str">
        <f>BATCH19!A38</f>
        <v>19-36</v>
      </c>
      <c r="C66" s="11">
        <f>BATCH19!B38</f>
        <v>57</v>
      </c>
      <c r="D66" s="11">
        <f>BATCH19!C38</f>
        <v>57</v>
      </c>
      <c r="E66" s="12">
        <f t="shared" si="4"/>
        <v>57</v>
      </c>
      <c r="F66" s="13">
        <f t="shared" si="5"/>
        <v>0</v>
      </c>
      <c r="G66" s="14">
        <f>BATCH19!D38</f>
        <v>23.44</v>
      </c>
      <c r="H66" s="15" t="str">
        <f t="shared" si="6"/>
        <v>In</v>
      </c>
      <c r="I66" s="15" t="str">
        <f t="shared" si="7"/>
        <v>Yes</v>
      </c>
      <c r="J66" s="16">
        <f t="shared" si="8"/>
        <v>57.023440000000001</v>
      </c>
      <c r="K66" s="17">
        <f>RANK(J66,$J$31:$J$130,1)+COUNTIF($J$31:J66,J66)-1</f>
        <v>79</v>
      </c>
      <c r="L66" s="26">
        <f>IFERROR(MATCH(O66,GROUPS!$B$15:$B$50,0),"")</f>
        <v>13</v>
      </c>
      <c r="M66" s="13">
        <f t="shared" si="9"/>
        <v>57</v>
      </c>
      <c r="N66" s="13">
        <f t="shared" si="10"/>
        <v>23</v>
      </c>
      <c r="O66" t="str">
        <f t="shared" si="11"/>
        <v>57.0 lb / 23.0 g</v>
      </c>
      <c r="P66" s="18">
        <f t="shared" si="12"/>
        <v>4</v>
      </c>
      <c r="Y66" s="12">
        <f t="shared" si="13"/>
        <v>57</v>
      </c>
      <c r="Z66" s="12">
        <f t="shared" si="14"/>
        <v>23.44</v>
      </c>
      <c r="AA66" s="12" t="e">
        <f t="shared" si="15"/>
        <v>#N/A</v>
      </c>
    </row>
    <row r="67" spans="1:27" x14ac:dyDescent="0.25">
      <c r="A67" t="s">
        <v>120</v>
      </c>
      <c r="B67" s="10" t="str">
        <f>BATCH19!A39</f>
        <v>19-37</v>
      </c>
      <c r="C67" s="11">
        <f>BATCH19!B39</f>
        <v>59</v>
      </c>
      <c r="D67" s="11">
        <f>BATCH19!C39</f>
        <v>59</v>
      </c>
      <c r="E67" s="12">
        <f t="shared" si="4"/>
        <v>59</v>
      </c>
      <c r="F67" s="13">
        <f t="shared" si="5"/>
        <v>0</v>
      </c>
      <c r="G67" s="14">
        <f>BATCH19!D39</f>
        <v>23.96</v>
      </c>
      <c r="H67" s="15" t="str">
        <f t="shared" si="6"/>
        <v>In</v>
      </c>
      <c r="I67" s="15" t="str">
        <f t="shared" si="7"/>
        <v>Yes</v>
      </c>
      <c r="J67" s="16">
        <f t="shared" si="8"/>
        <v>59.023960000000002</v>
      </c>
      <c r="K67" s="17">
        <f>RANK(J67,$J$31:$J$130,1)+COUNTIF($J$31:J67,J67)-1</f>
        <v>99</v>
      </c>
      <c r="L67" s="26">
        <f>IFERROR(MATCH(O67,GROUPS!$B$15:$B$50,0),"")</f>
        <v>14</v>
      </c>
      <c r="M67" s="13">
        <f t="shared" si="9"/>
        <v>57</v>
      </c>
      <c r="N67" s="13">
        <f t="shared" si="10"/>
        <v>23.5</v>
      </c>
      <c r="O67" t="str">
        <f t="shared" si="11"/>
        <v>57.0 lb / 23.5 g</v>
      </c>
      <c r="P67" s="18">
        <f t="shared" si="12"/>
        <v>4</v>
      </c>
      <c r="Y67" s="12">
        <f t="shared" si="13"/>
        <v>59</v>
      </c>
      <c r="Z67" s="12">
        <f t="shared" si="14"/>
        <v>23.96</v>
      </c>
      <c r="AA67" s="12" t="e">
        <f t="shared" si="15"/>
        <v>#N/A</v>
      </c>
    </row>
    <row r="68" spans="1:27" x14ac:dyDescent="0.25">
      <c r="A68" t="s">
        <v>120</v>
      </c>
      <c r="B68" s="10" t="str">
        <f>BATCH19!A40</f>
        <v>19-38</v>
      </c>
      <c r="C68" s="11">
        <f>BATCH19!B40</f>
        <v>53</v>
      </c>
      <c r="D68" s="11">
        <f>BATCH19!C40</f>
        <v>53</v>
      </c>
      <c r="E68" s="12">
        <f t="shared" si="4"/>
        <v>53</v>
      </c>
      <c r="F68" s="13">
        <f t="shared" si="5"/>
        <v>0</v>
      </c>
      <c r="G68" s="14">
        <f>BATCH19!D40</f>
        <v>23.76</v>
      </c>
      <c r="H68" s="15" t="str">
        <f t="shared" si="6"/>
        <v>Under</v>
      </c>
      <c r="I68" s="15" t="str">
        <f t="shared" si="7"/>
        <v>Yes</v>
      </c>
      <c r="J68" s="16">
        <f t="shared" si="8"/>
        <v>53.023760000000003</v>
      </c>
      <c r="K68" s="17">
        <f>RANK(J68,$J$31:$J$130,1)+COUNTIF($J$31:J68,J68)-1</f>
        <v>22</v>
      </c>
      <c r="L68" s="26">
        <f>IFERROR(MATCH(O68,GROUPS!$B$15:$B$50,0),"")</f>
        <v>17</v>
      </c>
      <c r="M68" s="13">
        <f t="shared" si="9"/>
        <v>51</v>
      </c>
      <c r="N68" s="13">
        <f t="shared" si="10"/>
        <v>23.5</v>
      </c>
      <c r="O68" t="str">
        <f t="shared" si="11"/>
        <v>51.0 lb / 23.5 g</v>
      </c>
      <c r="P68" s="18">
        <f t="shared" si="12"/>
        <v>2</v>
      </c>
      <c r="Y68" s="12">
        <f t="shared" si="13"/>
        <v>53</v>
      </c>
      <c r="Z68" s="12">
        <f t="shared" si="14"/>
        <v>23.76</v>
      </c>
      <c r="AA68" s="12" t="e">
        <f t="shared" si="15"/>
        <v>#N/A</v>
      </c>
    </row>
    <row r="69" spans="1:27" x14ac:dyDescent="0.25">
      <c r="A69" t="s">
        <v>120</v>
      </c>
      <c r="B69" s="10" t="str">
        <f>BATCH19!A41</f>
        <v>19-39</v>
      </c>
      <c r="C69" s="11">
        <f>BATCH19!B41</f>
        <v>55</v>
      </c>
      <c r="D69" s="11">
        <f>BATCH19!C41</f>
        <v>55</v>
      </c>
      <c r="E69" s="12">
        <f t="shared" si="4"/>
        <v>55</v>
      </c>
      <c r="F69" s="13">
        <f t="shared" si="5"/>
        <v>0</v>
      </c>
      <c r="G69" s="14">
        <f>BATCH19!D41</f>
        <v>21.18</v>
      </c>
      <c r="H69" s="15" t="str">
        <f t="shared" si="6"/>
        <v>In</v>
      </c>
      <c r="I69" s="15" t="str">
        <f t="shared" si="7"/>
        <v>Yes</v>
      </c>
      <c r="J69" s="16">
        <f t="shared" si="8"/>
        <v>55.021180000000001</v>
      </c>
      <c r="K69" s="17">
        <f>RANK(J69,$J$31:$J$130,1)+COUNTIF($J$31:J69,J69)-1</f>
        <v>30</v>
      </c>
      <c r="L69" s="26">
        <f>IFERROR(MATCH(O69,GROUPS!$B$15:$B$50,0),"")</f>
        <v>19</v>
      </c>
      <c r="M69" s="13">
        <f t="shared" si="9"/>
        <v>54</v>
      </c>
      <c r="N69" s="13">
        <f t="shared" si="10"/>
        <v>21</v>
      </c>
      <c r="O69" t="str">
        <f t="shared" si="11"/>
        <v>54.0 lb / 21.0 g</v>
      </c>
      <c r="P69" s="18">
        <f t="shared" si="12"/>
        <v>2</v>
      </c>
      <c r="Y69" s="12">
        <f t="shared" si="13"/>
        <v>55</v>
      </c>
      <c r="Z69" s="12">
        <f t="shared" si="14"/>
        <v>21.18</v>
      </c>
      <c r="AA69" s="12" t="e">
        <f t="shared" si="15"/>
        <v>#N/A</v>
      </c>
    </row>
    <row r="70" spans="1:27" x14ac:dyDescent="0.25">
      <c r="A70" t="s">
        <v>120</v>
      </c>
      <c r="B70" s="10" t="str">
        <f>BATCH19!A42</f>
        <v>19-40</v>
      </c>
      <c r="C70" s="11">
        <f>BATCH19!B42</f>
        <v>52</v>
      </c>
      <c r="D70" s="11">
        <f>BATCH19!C42</f>
        <v>52</v>
      </c>
      <c r="E70" s="12">
        <f t="shared" si="4"/>
        <v>52</v>
      </c>
      <c r="F70" s="13">
        <f t="shared" si="5"/>
        <v>0</v>
      </c>
      <c r="G70" s="14">
        <f>BATCH19!D42</f>
        <v>23.46</v>
      </c>
      <c r="H70" s="15" t="str">
        <f t="shared" si="6"/>
        <v>Under</v>
      </c>
      <c r="I70" s="15" t="str">
        <f t="shared" si="7"/>
        <v>Yes</v>
      </c>
      <c r="J70" s="16">
        <f t="shared" si="8"/>
        <v>52.02346</v>
      </c>
      <c r="K70" s="17">
        <f>RANK(J70,$J$31:$J$130,1)+COUNTIF($J$31:J70,J70)-1</f>
        <v>10</v>
      </c>
      <c r="L70" s="26">
        <f>IFERROR(MATCH(O70,GROUPS!$B$15:$B$50,0),"")</f>
        <v>5</v>
      </c>
      <c r="M70" s="13">
        <f t="shared" si="9"/>
        <v>51</v>
      </c>
      <c r="N70" s="13">
        <f t="shared" si="10"/>
        <v>23</v>
      </c>
      <c r="O70" t="str">
        <f t="shared" si="11"/>
        <v>51.0 lb / 23.0 g</v>
      </c>
      <c r="P70" s="18">
        <f t="shared" si="12"/>
        <v>5</v>
      </c>
      <c r="Y70" s="12">
        <f t="shared" si="13"/>
        <v>52</v>
      </c>
      <c r="Z70" s="12">
        <f t="shared" si="14"/>
        <v>23.46</v>
      </c>
      <c r="AA70" s="12" t="e">
        <f t="shared" si="15"/>
        <v>#N/A</v>
      </c>
    </row>
    <row r="71" spans="1:27" x14ac:dyDescent="0.25">
      <c r="A71" t="s">
        <v>120</v>
      </c>
      <c r="B71" s="10" t="str">
        <f>BATCH19!A43</f>
        <v>19-41</v>
      </c>
      <c r="C71" s="11">
        <f>BATCH19!B43</f>
        <v>53</v>
      </c>
      <c r="D71" s="11">
        <f>BATCH19!C43</f>
        <v>53</v>
      </c>
      <c r="E71" s="12">
        <f t="shared" si="4"/>
        <v>53</v>
      </c>
      <c r="F71" s="13">
        <f t="shared" si="5"/>
        <v>0</v>
      </c>
      <c r="G71" s="14">
        <f>BATCH19!D43</f>
        <v>22.5</v>
      </c>
      <c r="H71" s="15" t="str">
        <f t="shared" si="6"/>
        <v>Under</v>
      </c>
      <c r="I71" s="15" t="str">
        <f t="shared" si="7"/>
        <v>Yes</v>
      </c>
      <c r="J71" s="16">
        <f t="shared" si="8"/>
        <v>53.022500000000001</v>
      </c>
      <c r="K71" s="17">
        <f>RANK(J71,$J$31:$J$130,1)+COUNTIF($J$31:J71,J71)-1</f>
        <v>18</v>
      </c>
      <c r="L71" s="26">
        <f>IFERROR(MATCH(O71,GROUPS!$B$15:$B$50,0),"")</f>
        <v>16</v>
      </c>
      <c r="M71" s="13">
        <f t="shared" si="9"/>
        <v>51</v>
      </c>
      <c r="N71" s="13">
        <f t="shared" si="10"/>
        <v>22.5</v>
      </c>
      <c r="O71" t="str">
        <f t="shared" si="11"/>
        <v>51.0 lb / 22.5 g</v>
      </c>
      <c r="P71" s="18">
        <f t="shared" si="12"/>
        <v>2</v>
      </c>
      <c r="Y71" s="12">
        <f t="shared" si="13"/>
        <v>53</v>
      </c>
      <c r="Z71" s="12">
        <f t="shared" si="14"/>
        <v>22.5</v>
      </c>
      <c r="AA71" s="12" t="e">
        <f t="shared" si="15"/>
        <v>#N/A</v>
      </c>
    </row>
    <row r="72" spans="1:27" x14ac:dyDescent="0.25">
      <c r="A72" t="s">
        <v>120</v>
      </c>
      <c r="B72" s="10" t="str">
        <f>BATCH19!A44</f>
        <v>19-42</v>
      </c>
      <c r="C72" s="11">
        <f>BATCH19!B44</f>
        <v>55.5</v>
      </c>
      <c r="D72" s="11">
        <f>BATCH19!C44</f>
        <v>55.5</v>
      </c>
      <c r="E72" s="12">
        <f t="shared" si="4"/>
        <v>55.5</v>
      </c>
      <c r="F72" s="13">
        <f t="shared" si="5"/>
        <v>0</v>
      </c>
      <c r="G72" s="14">
        <f>BATCH19!D44</f>
        <v>25.88</v>
      </c>
      <c r="H72" s="15" t="str">
        <f t="shared" si="6"/>
        <v>In</v>
      </c>
      <c r="I72" s="15" t="str">
        <f t="shared" si="7"/>
        <v>Yes</v>
      </c>
      <c r="J72" s="16">
        <f t="shared" si="8"/>
        <v>55.525880000000001</v>
      </c>
      <c r="K72" s="17">
        <f>RANK(J72,$J$31:$J$130,1)+COUNTIF($J$31:J72,J72)-1</f>
        <v>59</v>
      </c>
      <c r="L72" s="26">
        <f>IFERROR(MATCH(O72,GROUPS!$B$15:$B$50,0),"")</f>
        <v>8</v>
      </c>
      <c r="M72" s="13">
        <f t="shared" si="9"/>
        <v>54</v>
      </c>
      <c r="N72" s="13">
        <f t="shared" si="10"/>
        <v>25.5</v>
      </c>
      <c r="O72" t="str">
        <f t="shared" si="11"/>
        <v>54.0 lb / 25.5 g</v>
      </c>
      <c r="P72" s="18">
        <f t="shared" si="12"/>
        <v>5</v>
      </c>
      <c r="Y72" s="12">
        <f t="shared" si="13"/>
        <v>55.5</v>
      </c>
      <c r="Z72" s="12">
        <f t="shared" si="14"/>
        <v>25.88</v>
      </c>
      <c r="AA72" s="12" t="e">
        <f t="shared" si="15"/>
        <v>#N/A</v>
      </c>
    </row>
    <row r="73" spans="1:27" x14ac:dyDescent="0.25">
      <c r="A73" t="s">
        <v>120</v>
      </c>
      <c r="B73" s="10" t="str">
        <f>BATCH19!A45</f>
        <v>19-43</v>
      </c>
      <c r="C73" s="11">
        <f>BATCH19!B45</f>
        <v>55</v>
      </c>
      <c r="D73" s="11">
        <f>BATCH19!C45</f>
        <v>54</v>
      </c>
      <c r="E73" s="12">
        <f t="shared" si="4"/>
        <v>54.5</v>
      </c>
      <c r="F73" s="13">
        <f t="shared" si="5"/>
        <v>1</v>
      </c>
      <c r="G73" s="14">
        <f>BATCH19!D45</f>
        <v>23.38</v>
      </c>
      <c r="H73" s="15" t="str">
        <f t="shared" si="6"/>
        <v>In</v>
      </c>
      <c r="I73" s="15" t="str">
        <f t="shared" si="7"/>
        <v>Yes</v>
      </c>
      <c r="J73" s="16">
        <f t="shared" si="8"/>
        <v>54.523380000000003</v>
      </c>
      <c r="K73" s="17">
        <f>RANK(J73,$J$31:$J$130,1)+COUNTIF($J$31:J73,J73)-1</f>
        <v>29</v>
      </c>
      <c r="L73" s="26">
        <f>IFERROR(MATCH(O73,GROUPS!$B$15:$B$50,0),"")</f>
        <v>2</v>
      </c>
      <c r="M73" s="13">
        <f t="shared" si="9"/>
        <v>54</v>
      </c>
      <c r="N73" s="13">
        <f t="shared" si="10"/>
        <v>23</v>
      </c>
      <c r="O73" t="str">
        <f t="shared" si="11"/>
        <v>54.0 lb / 23.0 g</v>
      </c>
      <c r="P73" s="18">
        <f t="shared" si="12"/>
        <v>9</v>
      </c>
      <c r="Y73" s="12">
        <f t="shared" si="13"/>
        <v>54.5</v>
      </c>
      <c r="Z73" s="12">
        <f t="shared" si="14"/>
        <v>23.38</v>
      </c>
      <c r="AA73" s="12" t="e">
        <f t="shared" si="15"/>
        <v>#N/A</v>
      </c>
    </row>
    <row r="74" spans="1:27" x14ac:dyDescent="0.25">
      <c r="A74" t="s">
        <v>120</v>
      </c>
      <c r="B74" s="10" t="str">
        <f>BATCH19!A46</f>
        <v>19-44</v>
      </c>
      <c r="C74" s="11">
        <f>BATCH19!B46</f>
        <v>53</v>
      </c>
      <c r="D74" s="11">
        <f>BATCH19!C46</f>
        <v>53</v>
      </c>
      <c r="E74" s="12">
        <f t="shared" si="4"/>
        <v>53</v>
      </c>
      <c r="F74" s="13">
        <f t="shared" si="5"/>
        <v>0</v>
      </c>
      <c r="G74" s="14">
        <f>BATCH19!D46</f>
        <v>21.81</v>
      </c>
      <c r="H74" s="15" t="str">
        <f t="shared" si="6"/>
        <v>Under</v>
      </c>
      <c r="I74" s="15" t="str">
        <f t="shared" si="7"/>
        <v>Yes</v>
      </c>
      <c r="J74" s="16">
        <f t="shared" si="8"/>
        <v>53.021810000000002</v>
      </c>
      <c r="K74" s="17">
        <f>RANK(J74,$J$31:$J$130,1)+COUNTIF($J$31:J74,J74)-1</f>
        <v>16</v>
      </c>
      <c r="L74" s="26">
        <f>IFERROR(MATCH(O74,GROUPS!$B$15:$B$50,0),"")</f>
        <v>3</v>
      </c>
      <c r="M74" s="13">
        <f t="shared" si="9"/>
        <v>51</v>
      </c>
      <c r="N74" s="13">
        <f t="shared" si="10"/>
        <v>21.5</v>
      </c>
      <c r="O74" t="str">
        <f t="shared" si="11"/>
        <v>51.0 lb / 21.5 g</v>
      </c>
      <c r="P74" s="18">
        <f t="shared" si="12"/>
        <v>6</v>
      </c>
      <c r="Y74" s="12">
        <f t="shared" si="13"/>
        <v>53</v>
      </c>
      <c r="Z74" s="12">
        <f t="shared" si="14"/>
        <v>21.81</v>
      </c>
      <c r="AA74" s="12" t="e">
        <f t="shared" si="15"/>
        <v>#N/A</v>
      </c>
    </row>
    <row r="75" spans="1:27" x14ac:dyDescent="0.25">
      <c r="A75" t="s">
        <v>120</v>
      </c>
      <c r="B75" s="10" t="str">
        <f>BATCH19!A47</f>
        <v>19-45</v>
      </c>
      <c r="C75" s="11">
        <f>BATCH19!B47</f>
        <v>55</v>
      </c>
      <c r="D75" s="11">
        <f>BATCH19!C47</f>
        <v>55</v>
      </c>
      <c r="E75" s="12">
        <f t="shared" si="4"/>
        <v>55</v>
      </c>
      <c r="F75" s="13">
        <f t="shared" si="5"/>
        <v>0</v>
      </c>
      <c r="G75" s="14">
        <f>BATCH19!D47</f>
        <v>23.85</v>
      </c>
      <c r="H75" s="15" t="str">
        <f t="shared" si="6"/>
        <v>In</v>
      </c>
      <c r="I75" s="15" t="str">
        <f t="shared" si="7"/>
        <v>Yes</v>
      </c>
      <c r="J75" s="16">
        <f t="shared" si="8"/>
        <v>55.023850000000003</v>
      </c>
      <c r="K75" s="17">
        <f>RANK(J75,$J$31:$J$130,1)+COUNTIF($J$31:J75,J75)-1</f>
        <v>40</v>
      </c>
      <c r="L75" s="26">
        <f>IFERROR(MATCH(O75,GROUPS!$B$15:$B$50,0),"")</f>
        <v>1</v>
      </c>
      <c r="M75" s="13">
        <f t="shared" si="9"/>
        <v>54</v>
      </c>
      <c r="N75" s="13">
        <f t="shared" si="10"/>
        <v>23.5</v>
      </c>
      <c r="O75" t="str">
        <f t="shared" si="11"/>
        <v>54.0 lb / 23.5 g</v>
      </c>
      <c r="P75" s="18">
        <f t="shared" si="12"/>
        <v>10</v>
      </c>
      <c r="Y75" s="12">
        <f t="shared" si="13"/>
        <v>55</v>
      </c>
      <c r="Z75" s="12">
        <f t="shared" si="14"/>
        <v>23.85</v>
      </c>
      <c r="AA75" s="12" t="e">
        <f t="shared" si="15"/>
        <v>#N/A</v>
      </c>
    </row>
    <row r="76" spans="1:27" x14ac:dyDescent="0.25">
      <c r="A76" t="s">
        <v>120</v>
      </c>
      <c r="B76" s="10" t="str">
        <f>BATCH19!A48</f>
        <v>19-46</v>
      </c>
      <c r="C76" s="11">
        <f>BATCH19!B48</f>
        <v>57</v>
      </c>
      <c r="D76" s="11">
        <f>BATCH19!C48</f>
        <v>56</v>
      </c>
      <c r="E76" s="12">
        <f t="shared" si="4"/>
        <v>56.5</v>
      </c>
      <c r="F76" s="13">
        <f t="shared" si="5"/>
        <v>1</v>
      </c>
      <c r="G76" s="14">
        <f>BATCH19!D48</f>
        <v>24.12</v>
      </c>
      <c r="H76" s="15" t="str">
        <f t="shared" si="6"/>
        <v>In</v>
      </c>
      <c r="I76" s="15" t="str">
        <f t="shared" si="7"/>
        <v>Yes</v>
      </c>
      <c r="J76" s="16">
        <f t="shared" si="8"/>
        <v>56.524120000000003</v>
      </c>
      <c r="K76" s="17">
        <f>RANK(J76,$J$31:$J$130,1)+COUNTIF($J$31:J76,J76)-1</f>
        <v>76</v>
      </c>
      <c r="L76" s="26">
        <f>IFERROR(MATCH(O76,GROUPS!$B$15:$B$50,0),"")</f>
        <v>7</v>
      </c>
      <c r="M76" s="13">
        <f t="shared" si="9"/>
        <v>54</v>
      </c>
      <c r="N76" s="13">
        <f t="shared" si="10"/>
        <v>24</v>
      </c>
      <c r="O76" t="str">
        <f t="shared" si="11"/>
        <v>54.0 lb / 24.0 g</v>
      </c>
      <c r="P76" s="18">
        <f t="shared" si="12"/>
        <v>5</v>
      </c>
      <c r="Y76" s="12">
        <f t="shared" si="13"/>
        <v>56.5</v>
      </c>
      <c r="Z76" s="12">
        <f t="shared" si="14"/>
        <v>24.12</v>
      </c>
      <c r="AA76" s="12" t="e">
        <f t="shared" si="15"/>
        <v>#N/A</v>
      </c>
    </row>
    <row r="77" spans="1:27" x14ac:dyDescent="0.25">
      <c r="A77" t="s">
        <v>120</v>
      </c>
      <c r="B77" s="10" t="str">
        <f>BATCH19!A49</f>
        <v>19-47</v>
      </c>
      <c r="C77" s="11">
        <f>BATCH19!B49</f>
        <v>58</v>
      </c>
      <c r="D77" s="11">
        <f>BATCH19!C49</f>
        <v>58</v>
      </c>
      <c r="E77" s="12">
        <f t="shared" si="4"/>
        <v>58</v>
      </c>
      <c r="F77" s="13">
        <f t="shared" si="5"/>
        <v>0</v>
      </c>
      <c r="G77" s="14">
        <f>BATCH19!D49</f>
        <v>24.94</v>
      </c>
      <c r="H77" s="15" t="str">
        <f t="shared" si="6"/>
        <v>In</v>
      </c>
      <c r="I77" s="15" t="str">
        <f t="shared" si="7"/>
        <v>Yes</v>
      </c>
      <c r="J77" s="16">
        <f t="shared" si="8"/>
        <v>58.024940000000001</v>
      </c>
      <c r="K77" s="17">
        <f>RANK(J77,$J$31:$J$130,1)+COUNTIF($J$31:J77,J77)-1</f>
        <v>92</v>
      </c>
      <c r="L77" s="26">
        <f>IFERROR(MATCH(O77,GROUPS!$B$15:$B$50,0),"")</f>
        <v>21</v>
      </c>
      <c r="M77" s="13">
        <f t="shared" si="9"/>
        <v>57</v>
      </c>
      <c r="N77" s="13">
        <f t="shared" si="10"/>
        <v>24.5</v>
      </c>
      <c r="O77" t="str">
        <f t="shared" si="11"/>
        <v>57.0 lb / 24.5 g</v>
      </c>
      <c r="P77" s="18">
        <f t="shared" si="12"/>
        <v>2</v>
      </c>
      <c r="Y77" s="12">
        <f t="shared" si="13"/>
        <v>58</v>
      </c>
      <c r="Z77" s="12">
        <f t="shared" si="14"/>
        <v>24.94</v>
      </c>
      <c r="AA77" s="12" t="e">
        <f t="shared" si="15"/>
        <v>#N/A</v>
      </c>
    </row>
    <row r="78" spans="1:27" x14ac:dyDescent="0.25">
      <c r="A78" t="s">
        <v>120</v>
      </c>
      <c r="B78" s="10" t="str">
        <f>BATCH19!A50</f>
        <v>19-48</v>
      </c>
      <c r="C78" s="11">
        <f>BATCH19!B50</f>
        <v>52</v>
      </c>
      <c r="D78" s="11">
        <f>BATCH19!C50</f>
        <v>52</v>
      </c>
      <c r="E78" s="12">
        <f t="shared" si="4"/>
        <v>52</v>
      </c>
      <c r="F78" s="13">
        <f t="shared" si="5"/>
        <v>0</v>
      </c>
      <c r="G78" s="14">
        <f>BATCH19!D50</f>
        <v>23.02</v>
      </c>
      <c r="H78" s="15" t="str">
        <f t="shared" si="6"/>
        <v>Under</v>
      </c>
      <c r="I78" s="15" t="str">
        <f t="shared" si="7"/>
        <v>Yes</v>
      </c>
      <c r="J78" s="16">
        <f t="shared" si="8"/>
        <v>52.023020000000002</v>
      </c>
      <c r="K78" s="17">
        <f>RANK(J78,$J$31:$J$130,1)+COUNTIF($J$31:J78,J78)-1</f>
        <v>8</v>
      </c>
      <c r="L78" s="26">
        <f>IFERROR(MATCH(O78,GROUPS!$B$15:$B$50,0),"")</f>
        <v>5</v>
      </c>
      <c r="M78" s="13">
        <f t="shared" si="9"/>
        <v>51</v>
      </c>
      <c r="N78" s="13">
        <f t="shared" si="10"/>
        <v>23</v>
      </c>
      <c r="O78" t="str">
        <f t="shared" si="11"/>
        <v>51.0 lb / 23.0 g</v>
      </c>
      <c r="P78" s="18">
        <f t="shared" si="12"/>
        <v>5</v>
      </c>
      <c r="Y78" s="12">
        <f t="shared" si="13"/>
        <v>52</v>
      </c>
      <c r="Z78" s="12">
        <f t="shared" si="14"/>
        <v>23.02</v>
      </c>
      <c r="AA78" s="12" t="e">
        <f t="shared" si="15"/>
        <v>#N/A</v>
      </c>
    </row>
    <row r="79" spans="1:27" x14ac:dyDescent="0.25">
      <c r="A79" t="s">
        <v>120</v>
      </c>
      <c r="B79" s="10" t="str">
        <f>BATCH19!A51</f>
        <v>19-49</v>
      </c>
      <c r="C79" s="11">
        <f>BATCH19!B51</f>
        <v>55</v>
      </c>
      <c r="D79" s="11">
        <f>BATCH19!C51</f>
        <v>55</v>
      </c>
      <c r="E79" s="12">
        <f t="shared" si="4"/>
        <v>55</v>
      </c>
      <c r="F79" s="13">
        <f t="shared" si="5"/>
        <v>0</v>
      </c>
      <c r="G79" s="14">
        <f>BATCH19!D51</f>
        <v>25.9</v>
      </c>
      <c r="H79" s="15" t="str">
        <f t="shared" si="6"/>
        <v>In</v>
      </c>
      <c r="I79" s="15" t="str">
        <f t="shared" si="7"/>
        <v>Yes</v>
      </c>
      <c r="J79" s="16">
        <f t="shared" si="8"/>
        <v>55.0259</v>
      </c>
      <c r="K79" s="17">
        <f>RANK(J79,$J$31:$J$130,1)+COUNTIF($J$31:J79,J79)-1</f>
        <v>50</v>
      </c>
      <c r="L79" s="26">
        <f>IFERROR(MATCH(O79,GROUPS!$B$15:$B$50,0),"")</f>
        <v>8</v>
      </c>
      <c r="M79" s="13">
        <f t="shared" si="9"/>
        <v>54</v>
      </c>
      <c r="N79" s="13">
        <f t="shared" si="10"/>
        <v>25.5</v>
      </c>
      <c r="O79" t="str">
        <f t="shared" si="11"/>
        <v>54.0 lb / 25.5 g</v>
      </c>
      <c r="P79" s="18">
        <f t="shared" si="12"/>
        <v>5</v>
      </c>
      <c r="Y79" s="12">
        <f t="shared" si="13"/>
        <v>55</v>
      </c>
      <c r="Z79" s="12">
        <f t="shared" si="14"/>
        <v>25.9</v>
      </c>
      <c r="AA79" s="12" t="e">
        <f t="shared" si="15"/>
        <v>#N/A</v>
      </c>
    </row>
    <row r="80" spans="1:27" x14ac:dyDescent="0.25">
      <c r="A80" t="s">
        <v>120</v>
      </c>
      <c r="B80" s="10" t="str">
        <f>BATCH19!A52</f>
        <v>19-50</v>
      </c>
      <c r="C80" s="11">
        <f>BATCH19!B52</f>
        <v>56</v>
      </c>
      <c r="D80" s="11">
        <f>BATCH19!C52</f>
        <v>56</v>
      </c>
      <c r="E80" s="12">
        <f t="shared" si="4"/>
        <v>56</v>
      </c>
      <c r="F80" s="13">
        <f t="shared" si="5"/>
        <v>0</v>
      </c>
      <c r="G80" s="14">
        <f>BATCH19!D52</f>
        <v>25.15</v>
      </c>
      <c r="H80" s="15" t="str">
        <f t="shared" si="6"/>
        <v>In</v>
      </c>
      <c r="I80" s="15" t="str">
        <f t="shared" si="7"/>
        <v>Yes</v>
      </c>
      <c r="J80" s="16">
        <f t="shared" si="8"/>
        <v>56.025149999999996</v>
      </c>
      <c r="K80" s="17">
        <f>RANK(J80,$J$31:$J$130,1)+COUNTIF($J$31:J80,J80)-1</f>
        <v>73</v>
      </c>
      <c r="L80" s="26">
        <f>IFERROR(MATCH(O80,GROUPS!$B$15:$B$50,0),"")</f>
        <v>4</v>
      </c>
      <c r="M80" s="13">
        <f t="shared" si="9"/>
        <v>54</v>
      </c>
      <c r="N80" s="13">
        <f t="shared" si="10"/>
        <v>25</v>
      </c>
      <c r="O80" t="str">
        <f t="shared" si="11"/>
        <v>54.0 lb / 25.0 g</v>
      </c>
      <c r="P80" s="18">
        <f t="shared" si="12"/>
        <v>6</v>
      </c>
      <c r="Y80" s="12">
        <f t="shared" si="13"/>
        <v>56</v>
      </c>
      <c r="Z80" s="12">
        <f t="shared" si="14"/>
        <v>25.15</v>
      </c>
      <c r="AA80" s="12" t="e">
        <f t="shared" si="15"/>
        <v>#N/A</v>
      </c>
    </row>
    <row r="81" spans="1:27" x14ac:dyDescent="0.25">
      <c r="A81" t="s">
        <v>121</v>
      </c>
      <c r="B81" s="10" t="str">
        <f>BATCH20!A3</f>
        <v>20-01</v>
      </c>
      <c r="C81" s="11">
        <f>BATCH20!B3</f>
        <v>56</v>
      </c>
      <c r="D81" s="11">
        <f>BATCH20!C3</f>
        <v>55</v>
      </c>
      <c r="E81" s="12">
        <f>AVERAGE(C81:D81)</f>
        <v>55.5</v>
      </c>
      <c r="F81" s="13">
        <f>ABS(C81-D81)</f>
        <v>1</v>
      </c>
      <c r="G81" s="14">
        <f>BATCH20!D3</f>
        <v>22.76</v>
      </c>
      <c r="H81" s="15" t="str">
        <f>IF(AND(E81&gt;=$B$5,E81&lt;=$B$6),"In",IF(E81&lt;$B$5,"Under","Over"))</f>
        <v>In</v>
      </c>
      <c r="I81" s="15" t="str">
        <f>IF(F81&lt;=$B$7,"Yes","No")</f>
        <v>Yes</v>
      </c>
      <c r="J81" s="16">
        <f>E81+G81/1000</f>
        <v>55.522759999999998</v>
      </c>
      <c r="K81" s="17">
        <f>RANK(J81,$J$31:$J$130,1)+COUNTIF($J$31:J81,J81)-1</f>
        <v>53</v>
      </c>
      <c r="L81" s="26">
        <f>IFERROR(MATCH(O81,GROUPS!$B$15:$B$50,0),"")</f>
        <v>12</v>
      </c>
      <c r="M81" s="13">
        <f t="shared" si="9"/>
        <v>54</v>
      </c>
      <c r="N81" s="13">
        <f t="shared" si="10"/>
        <v>22.5</v>
      </c>
      <c r="O81" t="str">
        <f t="shared" si="11"/>
        <v>54.0 lb / 22.5 g</v>
      </c>
      <c r="P81" s="18">
        <f t="shared" si="12"/>
        <v>4</v>
      </c>
      <c r="Y81" s="12">
        <f t="shared" si="13"/>
        <v>55.5</v>
      </c>
      <c r="Z81" s="12" t="e">
        <f t="shared" si="14"/>
        <v>#N/A</v>
      </c>
      <c r="AA81" s="12">
        <f t="shared" si="15"/>
        <v>22.76</v>
      </c>
    </row>
    <row r="82" spans="1:27" x14ac:dyDescent="0.25">
      <c r="A82" t="s">
        <v>121</v>
      </c>
      <c r="B82" s="10" t="str">
        <f>BATCH20!A4</f>
        <v>20-02</v>
      </c>
      <c r="C82" s="11">
        <f>BATCH20!B4</f>
        <v>53</v>
      </c>
      <c r="D82" s="11">
        <f>BATCH20!C4</f>
        <v>53</v>
      </c>
      <c r="E82" s="12">
        <f t="shared" ref="E82:E130" si="16">AVERAGE(C82:D82)</f>
        <v>53</v>
      </c>
      <c r="F82" s="13">
        <f t="shared" ref="F82:F130" si="17">ABS(C82-D82)</f>
        <v>0</v>
      </c>
      <c r="G82" s="14">
        <f>BATCH20!D4</f>
        <v>23.03</v>
      </c>
      <c r="H82" s="15" t="str">
        <f t="shared" ref="H82:H130" si="18">IF(AND(E82&gt;=$B$5,E82&lt;=$B$6),"In",IF(E82&lt;$B$5,"Under","Over"))</f>
        <v>Under</v>
      </c>
      <c r="I82" s="15" t="str">
        <f t="shared" ref="I82:I130" si="19">IF(F82&lt;=$B$7,"Yes","No")</f>
        <v>Yes</v>
      </c>
      <c r="J82" s="16">
        <f t="shared" ref="J82:J130" si="20">E82+G82/1000</f>
        <v>53.023029999999999</v>
      </c>
      <c r="K82" s="17">
        <f>RANK(J82,$J$31:$J$130,1)+COUNTIF($J$31:J82,J82)-1</f>
        <v>20</v>
      </c>
      <c r="L82" s="26">
        <f>IFERROR(MATCH(O82,GROUPS!$B$15:$B$50,0),"")</f>
        <v>5</v>
      </c>
      <c r="M82" s="13">
        <f t="shared" si="9"/>
        <v>51</v>
      </c>
      <c r="N82" s="13">
        <f t="shared" si="10"/>
        <v>23</v>
      </c>
      <c r="O82" t="str">
        <f t="shared" si="11"/>
        <v>51.0 lb / 23.0 g</v>
      </c>
      <c r="P82" s="18">
        <f t="shared" si="12"/>
        <v>5</v>
      </c>
      <c r="Y82" s="12">
        <f t="shared" si="13"/>
        <v>53</v>
      </c>
      <c r="Z82" s="12" t="e">
        <f t="shared" si="14"/>
        <v>#N/A</v>
      </c>
      <c r="AA82" s="12">
        <f t="shared" si="15"/>
        <v>23.03</v>
      </c>
    </row>
    <row r="83" spans="1:27" x14ac:dyDescent="0.25">
      <c r="A83" t="s">
        <v>121</v>
      </c>
      <c r="B83" s="10" t="str">
        <f>BATCH20!A5</f>
        <v>20-03</v>
      </c>
      <c r="C83" s="11">
        <f>BATCH20!B5</f>
        <v>55</v>
      </c>
      <c r="D83" s="11">
        <f>BATCH20!C5</f>
        <v>55</v>
      </c>
      <c r="E83" s="12">
        <f t="shared" si="16"/>
        <v>55</v>
      </c>
      <c r="F83" s="13">
        <f t="shared" si="17"/>
        <v>0</v>
      </c>
      <c r="G83" s="14">
        <f>BATCH20!D5</f>
        <v>23.97</v>
      </c>
      <c r="H83" s="15" t="str">
        <f t="shared" si="18"/>
        <v>In</v>
      </c>
      <c r="I83" s="15" t="str">
        <f t="shared" si="19"/>
        <v>Yes</v>
      </c>
      <c r="J83" s="16">
        <f t="shared" si="20"/>
        <v>55.023969999999998</v>
      </c>
      <c r="K83" s="17">
        <f>RANK(J83,$J$31:$J$130,1)+COUNTIF($J$31:J83,J83)-1</f>
        <v>43</v>
      </c>
      <c r="L83" s="26">
        <f>IFERROR(MATCH(O83,GROUPS!$B$15:$B$50,0),"")</f>
        <v>1</v>
      </c>
      <c r="M83" s="13">
        <f t="shared" si="9"/>
        <v>54</v>
      </c>
      <c r="N83" s="13">
        <f t="shared" si="10"/>
        <v>23.5</v>
      </c>
      <c r="O83" t="str">
        <f t="shared" si="11"/>
        <v>54.0 lb / 23.5 g</v>
      </c>
      <c r="P83" s="18">
        <f t="shared" si="12"/>
        <v>10</v>
      </c>
      <c r="Y83" s="12">
        <f t="shared" si="13"/>
        <v>55</v>
      </c>
      <c r="Z83" s="12" t="e">
        <f t="shared" si="14"/>
        <v>#N/A</v>
      </c>
      <c r="AA83" s="12">
        <f t="shared" si="15"/>
        <v>23.97</v>
      </c>
    </row>
    <row r="84" spans="1:27" x14ac:dyDescent="0.25">
      <c r="A84" t="s">
        <v>121</v>
      </c>
      <c r="B84" s="10" t="str">
        <f>BATCH20!A6</f>
        <v>20-04</v>
      </c>
      <c r="C84" s="11">
        <f>BATCH20!B6</f>
        <v>58</v>
      </c>
      <c r="D84" s="11">
        <f>BATCH20!C6</f>
        <v>58</v>
      </c>
      <c r="E84" s="12">
        <f t="shared" si="16"/>
        <v>58</v>
      </c>
      <c r="F84" s="13">
        <f t="shared" si="17"/>
        <v>0</v>
      </c>
      <c r="G84" s="14">
        <f>BATCH20!D6</f>
        <v>23.56</v>
      </c>
      <c r="H84" s="15" t="str">
        <f t="shared" si="18"/>
        <v>In</v>
      </c>
      <c r="I84" s="15" t="str">
        <f t="shared" si="19"/>
        <v>Yes</v>
      </c>
      <c r="J84" s="16">
        <f t="shared" si="20"/>
        <v>58.023560000000003</v>
      </c>
      <c r="K84" s="17">
        <f>RANK(J84,$J$31:$J$130,1)+COUNTIF($J$31:J84,J84)-1</f>
        <v>89</v>
      </c>
      <c r="L84" s="26">
        <f>IFERROR(MATCH(O84,GROUPS!$B$15:$B$50,0),"")</f>
        <v>14</v>
      </c>
      <c r="M84" s="13">
        <f t="shared" si="9"/>
        <v>57</v>
      </c>
      <c r="N84" s="13">
        <f t="shared" si="10"/>
        <v>23.5</v>
      </c>
      <c r="O84" t="str">
        <f t="shared" si="11"/>
        <v>57.0 lb / 23.5 g</v>
      </c>
      <c r="P84" s="18">
        <f t="shared" si="12"/>
        <v>4</v>
      </c>
      <c r="Y84" s="12">
        <f t="shared" si="13"/>
        <v>58</v>
      </c>
      <c r="Z84" s="12" t="e">
        <f t="shared" si="14"/>
        <v>#N/A</v>
      </c>
      <c r="AA84" s="12">
        <f t="shared" si="15"/>
        <v>23.56</v>
      </c>
    </row>
    <row r="85" spans="1:27" x14ac:dyDescent="0.25">
      <c r="A85" t="s">
        <v>121</v>
      </c>
      <c r="B85" s="10" t="str">
        <f>BATCH20!A7</f>
        <v>20-05</v>
      </c>
      <c r="C85" s="11">
        <f>BATCH20!B7</f>
        <v>56</v>
      </c>
      <c r="D85" s="11">
        <f>BATCH20!C7</f>
        <v>56</v>
      </c>
      <c r="E85" s="12">
        <f t="shared" si="16"/>
        <v>56</v>
      </c>
      <c r="F85" s="13">
        <f t="shared" si="17"/>
        <v>0</v>
      </c>
      <c r="G85" s="14">
        <f>BATCH20!D7</f>
        <v>22.26</v>
      </c>
      <c r="H85" s="15" t="str">
        <f t="shared" si="18"/>
        <v>In</v>
      </c>
      <c r="I85" s="15" t="str">
        <f t="shared" si="19"/>
        <v>Yes</v>
      </c>
      <c r="J85" s="16">
        <f t="shared" si="20"/>
        <v>56.022260000000003</v>
      </c>
      <c r="K85" s="17">
        <f>RANK(J85,$J$31:$J$130,1)+COUNTIF($J$31:J85,J85)-1</f>
        <v>62</v>
      </c>
      <c r="L85" s="26">
        <f>IFERROR(MATCH(O85,GROUPS!$B$15:$B$50,0),"")</f>
        <v>6</v>
      </c>
      <c r="M85" s="13">
        <f t="shared" si="9"/>
        <v>54</v>
      </c>
      <c r="N85" s="13">
        <f t="shared" si="10"/>
        <v>22</v>
      </c>
      <c r="O85" t="str">
        <f t="shared" si="11"/>
        <v>54.0 lb / 22.0 g</v>
      </c>
      <c r="P85" s="18">
        <f t="shared" si="12"/>
        <v>5</v>
      </c>
      <c r="Y85" s="12">
        <f t="shared" si="13"/>
        <v>56</v>
      </c>
      <c r="Z85" s="12" t="e">
        <f t="shared" si="14"/>
        <v>#N/A</v>
      </c>
      <c r="AA85" s="12">
        <f t="shared" si="15"/>
        <v>22.26</v>
      </c>
    </row>
    <row r="86" spans="1:27" x14ac:dyDescent="0.25">
      <c r="A86" t="s">
        <v>121</v>
      </c>
      <c r="B86" s="10" t="str">
        <f>BATCH20!A8</f>
        <v>20-06</v>
      </c>
      <c r="C86" s="11">
        <f>BATCH20!B8</f>
        <v>56</v>
      </c>
      <c r="D86" s="11">
        <f>BATCH20!C8</f>
        <v>56</v>
      </c>
      <c r="E86" s="12">
        <f t="shared" si="16"/>
        <v>56</v>
      </c>
      <c r="F86" s="13">
        <f t="shared" si="17"/>
        <v>0</v>
      </c>
      <c r="G86" s="14">
        <f>BATCH20!D8</f>
        <v>22.35</v>
      </c>
      <c r="H86" s="15" t="str">
        <f t="shared" si="18"/>
        <v>In</v>
      </c>
      <c r="I86" s="15" t="str">
        <f t="shared" si="19"/>
        <v>Yes</v>
      </c>
      <c r="J86" s="16">
        <f t="shared" si="20"/>
        <v>56.022350000000003</v>
      </c>
      <c r="K86" s="17">
        <f>RANK(J86,$J$31:$J$130,1)+COUNTIF($J$31:J86,J86)-1</f>
        <v>64</v>
      </c>
      <c r="L86" s="26">
        <f>IFERROR(MATCH(O86,GROUPS!$B$15:$B$50,0),"")</f>
        <v>6</v>
      </c>
      <c r="M86" s="13">
        <f t="shared" si="9"/>
        <v>54</v>
      </c>
      <c r="N86" s="13">
        <f t="shared" si="10"/>
        <v>22</v>
      </c>
      <c r="O86" t="str">
        <f t="shared" si="11"/>
        <v>54.0 lb / 22.0 g</v>
      </c>
      <c r="P86" s="18">
        <f t="shared" si="12"/>
        <v>5</v>
      </c>
      <c r="Y86" s="12">
        <f t="shared" si="13"/>
        <v>56</v>
      </c>
      <c r="Z86" s="12" t="e">
        <f t="shared" si="14"/>
        <v>#N/A</v>
      </c>
      <c r="AA86" s="12">
        <f t="shared" si="15"/>
        <v>22.35</v>
      </c>
    </row>
    <row r="87" spans="1:27" x14ac:dyDescent="0.25">
      <c r="A87" t="s">
        <v>121</v>
      </c>
      <c r="B87" s="10" t="str">
        <f>BATCH20!A9</f>
        <v>20-07</v>
      </c>
      <c r="C87" s="11">
        <f>BATCH20!B9</f>
        <v>56</v>
      </c>
      <c r="D87" s="11">
        <f>BATCH20!C9</f>
        <v>56</v>
      </c>
      <c r="E87" s="12">
        <f t="shared" si="16"/>
        <v>56</v>
      </c>
      <c r="F87" s="13">
        <f t="shared" si="17"/>
        <v>0</v>
      </c>
      <c r="G87" s="14">
        <f>BATCH20!D9</f>
        <v>23.35</v>
      </c>
      <c r="H87" s="15" t="str">
        <f t="shared" si="18"/>
        <v>In</v>
      </c>
      <c r="I87" s="15" t="str">
        <f t="shared" si="19"/>
        <v>Yes</v>
      </c>
      <c r="J87" s="16">
        <f t="shared" si="20"/>
        <v>56.023350000000001</v>
      </c>
      <c r="K87" s="17">
        <f>RANK(J87,$J$31:$J$130,1)+COUNTIF($J$31:J87,J87)-1</f>
        <v>66</v>
      </c>
      <c r="L87" s="26">
        <f>IFERROR(MATCH(O87,GROUPS!$B$15:$B$50,0),"")</f>
        <v>2</v>
      </c>
      <c r="M87" s="13">
        <f t="shared" si="9"/>
        <v>54</v>
      </c>
      <c r="N87" s="13">
        <f t="shared" si="10"/>
        <v>23</v>
      </c>
      <c r="O87" t="str">
        <f t="shared" si="11"/>
        <v>54.0 lb / 23.0 g</v>
      </c>
      <c r="P87" s="18">
        <f t="shared" si="12"/>
        <v>9</v>
      </c>
      <c r="Y87" s="12">
        <f t="shared" si="13"/>
        <v>56</v>
      </c>
      <c r="Z87" s="12" t="e">
        <f t="shared" si="14"/>
        <v>#N/A</v>
      </c>
      <c r="AA87" s="12">
        <f t="shared" si="15"/>
        <v>23.35</v>
      </c>
    </row>
    <row r="88" spans="1:27" x14ac:dyDescent="0.25">
      <c r="A88" t="s">
        <v>121</v>
      </c>
      <c r="B88" s="10" t="str">
        <f>BATCH20!A10</f>
        <v>20-08</v>
      </c>
      <c r="C88" s="11">
        <f>BATCH20!B10</f>
        <v>57</v>
      </c>
      <c r="D88" s="11">
        <f>BATCH20!C10</f>
        <v>57</v>
      </c>
      <c r="E88" s="12">
        <f t="shared" si="16"/>
        <v>57</v>
      </c>
      <c r="F88" s="13">
        <f t="shared" si="17"/>
        <v>0</v>
      </c>
      <c r="G88" s="14">
        <f>BATCH20!D10</f>
        <v>23.73</v>
      </c>
      <c r="H88" s="15" t="str">
        <f t="shared" si="18"/>
        <v>In</v>
      </c>
      <c r="I88" s="15" t="str">
        <f t="shared" si="19"/>
        <v>Yes</v>
      </c>
      <c r="J88" s="16">
        <f t="shared" si="20"/>
        <v>57.02373</v>
      </c>
      <c r="K88" s="17">
        <f>RANK(J88,$J$31:$J$130,1)+COUNTIF($J$31:J88,J88)-1</f>
        <v>81</v>
      </c>
      <c r="L88" s="26">
        <f>IFERROR(MATCH(O88,GROUPS!$B$15:$B$50,0),"")</f>
        <v>14</v>
      </c>
      <c r="M88" s="13">
        <f t="shared" si="9"/>
        <v>57</v>
      </c>
      <c r="N88" s="13">
        <f t="shared" si="10"/>
        <v>23.5</v>
      </c>
      <c r="O88" t="str">
        <f t="shared" si="11"/>
        <v>57.0 lb / 23.5 g</v>
      </c>
      <c r="P88" s="18">
        <f t="shared" si="12"/>
        <v>4</v>
      </c>
      <c r="Y88" s="12">
        <f t="shared" si="13"/>
        <v>57</v>
      </c>
      <c r="Z88" s="12" t="e">
        <f t="shared" si="14"/>
        <v>#N/A</v>
      </c>
      <c r="AA88" s="12">
        <f t="shared" si="15"/>
        <v>23.73</v>
      </c>
    </row>
    <row r="89" spans="1:27" x14ac:dyDescent="0.25">
      <c r="A89" t="s">
        <v>121</v>
      </c>
      <c r="B89" s="10" t="str">
        <f>BATCH20!A11</f>
        <v>20-09</v>
      </c>
      <c r="C89" s="11">
        <f>BATCH20!B11</f>
        <v>56</v>
      </c>
      <c r="D89" s="11">
        <f>BATCH20!C11</f>
        <v>56</v>
      </c>
      <c r="E89" s="12">
        <f t="shared" si="16"/>
        <v>56</v>
      </c>
      <c r="F89" s="13">
        <f t="shared" si="17"/>
        <v>0</v>
      </c>
      <c r="G89" s="14">
        <f>BATCH20!D11</f>
        <v>25.21</v>
      </c>
      <c r="H89" s="15" t="str">
        <f t="shared" si="18"/>
        <v>In</v>
      </c>
      <c r="I89" s="15" t="str">
        <f t="shared" si="19"/>
        <v>Yes</v>
      </c>
      <c r="J89" s="16">
        <f t="shared" si="20"/>
        <v>56.025210000000001</v>
      </c>
      <c r="K89" s="17">
        <f>RANK(J89,$J$31:$J$130,1)+COUNTIF($J$31:J89,J89)-1</f>
        <v>74</v>
      </c>
      <c r="L89" s="26">
        <f>IFERROR(MATCH(O89,GROUPS!$B$15:$B$50,0),"")</f>
        <v>4</v>
      </c>
      <c r="M89" s="13">
        <f t="shared" si="9"/>
        <v>54</v>
      </c>
      <c r="N89" s="13">
        <f t="shared" si="10"/>
        <v>25</v>
      </c>
      <c r="O89" t="str">
        <f t="shared" si="11"/>
        <v>54.0 lb / 25.0 g</v>
      </c>
      <c r="P89" s="18">
        <f t="shared" si="12"/>
        <v>6</v>
      </c>
      <c r="Y89" s="12">
        <f t="shared" si="13"/>
        <v>56</v>
      </c>
      <c r="Z89" s="12" t="e">
        <f t="shared" si="14"/>
        <v>#N/A</v>
      </c>
      <c r="AA89" s="12">
        <f t="shared" si="15"/>
        <v>25.21</v>
      </c>
    </row>
    <row r="90" spans="1:27" x14ac:dyDescent="0.25">
      <c r="A90" t="s">
        <v>121</v>
      </c>
      <c r="B90" s="10" t="str">
        <f>BATCH20!A12</f>
        <v>20-10</v>
      </c>
      <c r="C90" s="11">
        <f>BATCH20!B12</f>
        <v>56</v>
      </c>
      <c r="D90" s="11">
        <f>BATCH20!C12</f>
        <v>56</v>
      </c>
      <c r="E90" s="12">
        <f t="shared" si="16"/>
        <v>56</v>
      </c>
      <c r="F90" s="13">
        <f t="shared" si="17"/>
        <v>0</v>
      </c>
      <c r="G90" s="14">
        <f>BATCH20!D12</f>
        <v>24.35</v>
      </c>
      <c r="H90" s="15" t="str">
        <f t="shared" si="18"/>
        <v>In</v>
      </c>
      <c r="I90" s="15" t="str">
        <f t="shared" si="19"/>
        <v>Yes</v>
      </c>
      <c r="J90" s="16">
        <f t="shared" si="20"/>
        <v>56.024349999999998</v>
      </c>
      <c r="K90" s="17">
        <f>RANK(J90,$J$31:$J$130,1)+COUNTIF($J$31:J90,J90)-1</f>
        <v>69</v>
      </c>
      <c r="L90" s="26">
        <f>IFERROR(MATCH(O90,GROUPS!$B$15:$B$50,0),"")</f>
        <v>7</v>
      </c>
      <c r="M90" s="13">
        <f t="shared" si="9"/>
        <v>54</v>
      </c>
      <c r="N90" s="13">
        <f t="shared" si="10"/>
        <v>24</v>
      </c>
      <c r="O90" t="str">
        <f t="shared" si="11"/>
        <v>54.0 lb / 24.0 g</v>
      </c>
      <c r="P90" s="18">
        <f t="shared" si="12"/>
        <v>5</v>
      </c>
      <c r="Y90" s="12">
        <f t="shared" si="13"/>
        <v>56</v>
      </c>
      <c r="Z90" s="12" t="e">
        <f t="shared" si="14"/>
        <v>#N/A</v>
      </c>
      <c r="AA90" s="12">
        <f t="shared" si="15"/>
        <v>24.35</v>
      </c>
    </row>
    <row r="91" spans="1:27" x14ac:dyDescent="0.25">
      <c r="A91" t="s">
        <v>121</v>
      </c>
      <c r="B91" s="10" t="str">
        <f>BATCH20!A13</f>
        <v>20-11</v>
      </c>
      <c r="C91" s="11">
        <f>BATCH20!B13</f>
        <v>55</v>
      </c>
      <c r="D91" s="11">
        <f>BATCH20!C13</f>
        <v>55</v>
      </c>
      <c r="E91" s="12">
        <f t="shared" si="16"/>
        <v>55</v>
      </c>
      <c r="F91" s="13">
        <f t="shared" si="17"/>
        <v>0</v>
      </c>
      <c r="G91" s="14">
        <f>BATCH20!D13</f>
        <v>24.56</v>
      </c>
      <c r="H91" s="15" t="str">
        <f t="shared" si="18"/>
        <v>In</v>
      </c>
      <c r="I91" s="15" t="str">
        <f t="shared" si="19"/>
        <v>Yes</v>
      </c>
      <c r="J91" s="16">
        <f t="shared" si="20"/>
        <v>55.024560000000001</v>
      </c>
      <c r="K91" s="17">
        <f>RANK(J91,$J$31:$J$130,1)+COUNTIF($J$31:J91,J91)-1</f>
        <v>46</v>
      </c>
      <c r="L91" s="26">
        <f>IFERROR(MATCH(O91,GROUPS!$B$15:$B$50,0),"")</f>
        <v>20</v>
      </c>
      <c r="M91" s="13">
        <f t="shared" si="9"/>
        <v>54</v>
      </c>
      <c r="N91" s="13">
        <f t="shared" si="10"/>
        <v>24.5</v>
      </c>
      <c r="O91" t="str">
        <f t="shared" si="11"/>
        <v>54.0 lb / 24.5 g</v>
      </c>
      <c r="P91" s="18">
        <f t="shared" si="12"/>
        <v>2</v>
      </c>
      <c r="Y91" s="12">
        <f t="shared" si="13"/>
        <v>55</v>
      </c>
      <c r="Z91" s="12" t="e">
        <f t="shared" si="14"/>
        <v>#N/A</v>
      </c>
      <c r="AA91" s="12">
        <f t="shared" si="15"/>
        <v>24.56</v>
      </c>
    </row>
    <row r="92" spans="1:27" x14ac:dyDescent="0.25">
      <c r="A92" t="s">
        <v>121</v>
      </c>
      <c r="B92" s="10" t="str">
        <f>BATCH20!A14</f>
        <v>20-12</v>
      </c>
      <c r="C92" s="11">
        <f>BATCH20!B14</f>
        <v>55</v>
      </c>
      <c r="D92" s="11">
        <f>BATCH20!C14</f>
        <v>55</v>
      </c>
      <c r="E92" s="12">
        <f t="shared" si="16"/>
        <v>55</v>
      </c>
      <c r="F92" s="13">
        <f t="shared" si="17"/>
        <v>0</v>
      </c>
      <c r="G92" s="14">
        <f>BATCH20!D14</f>
        <v>22.45</v>
      </c>
      <c r="H92" s="15" t="str">
        <f t="shared" si="18"/>
        <v>In</v>
      </c>
      <c r="I92" s="15" t="str">
        <f t="shared" si="19"/>
        <v>Yes</v>
      </c>
      <c r="J92" s="16">
        <f t="shared" si="20"/>
        <v>55.022449999999999</v>
      </c>
      <c r="K92" s="17">
        <f>RANK(J92,$J$31:$J$130,1)+COUNTIF($J$31:J92,J92)-1</f>
        <v>31</v>
      </c>
      <c r="L92" s="26">
        <f>IFERROR(MATCH(O92,GROUPS!$B$15:$B$50,0),"")</f>
        <v>6</v>
      </c>
      <c r="M92" s="13">
        <f t="shared" si="9"/>
        <v>54</v>
      </c>
      <c r="N92" s="13">
        <f t="shared" si="10"/>
        <v>22</v>
      </c>
      <c r="O92" t="str">
        <f t="shared" si="11"/>
        <v>54.0 lb / 22.0 g</v>
      </c>
      <c r="P92" s="18">
        <f t="shared" si="12"/>
        <v>5</v>
      </c>
      <c r="Y92" s="12">
        <f t="shared" si="13"/>
        <v>55</v>
      </c>
      <c r="Z92" s="12" t="e">
        <f t="shared" si="14"/>
        <v>#N/A</v>
      </c>
      <c r="AA92" s="12">
        <f t="shared" si="15"/>
        <v>22.45</v>
      </c>
    </row>
    <row r="93" spans="1:27" x14ac:dyDescent="0.25">
      <c r="A93" t="s">
        <v>121</v>
      </c>
      <c r="B93" s="10" t="str">
        <f>BATCH20!A15</f>
        <v>20-13</v>
      </c>
      <c r="C93" s="11">
        <f>BATCH20!B15</f>
        <v>55</v>
      </c>
      <c r="D93" s="11">
        <f>BATCH20!C15</f>
        <v>55</v>
      </c>
      <c r="E93" s="12">
        <f t="shared" si="16"/>
        <v>55</v>
      </c>
      <c r="F93" s="13">
        <f t="shared" si="17"/>
        <v>0</v>
      </c>
      <c r="G93" s="14">
        <f>BATCH20!D15</f>
        <v>25.5</v>
      </c>
      <c r="H93" s="15" t="str">
        <f t="shared" si="18"/>
        <v>In</v>
      </c>
      <c r="I93" s="15" t="str">
        <f t="shared" si="19"/>
        <v>Yes</v>
      </c>
      <c r="J93" s="16">
        <f t="shared" si="20"/>
        <v>55.025500000000001</v>
      </c>
      <c r="K93" s="17">
        <f>RANK(J93,$J$31:$J$130,1)+COUNTIF($J$31:J93,J93)-1</f>
        <v>49</v>
      </c>
      <c r="L93" s="26">
        <f>IFERROR(MATCH(O93,GROUPS!$B$15:$B$50,0),"")</f>
        <v>8</v>
      </c>
      <c r="M93" s="13">
        <f t="shared" si="9"/>
        <v>54</v>
      </c>
      <c r="N93" s="13">
        <f t="shared" si="10"/>
        <v>25.5</v>
      </c>
      <c r="O93" t="str">
        <f t="shared" si="11"/>
        <v>54.0 lb / 25.5 g</v>
      </c>
      <c r="P93" s="18">
        <f t="shared" si="12"/>
        <v>5</v>
      </c>
      <c r="Y93" s="12">
        <f t="shared" si="13"/>
        <v>55</v>
      </c>
      <c r="Z93" s="12" t="e">
        <f t="shared" si="14"/>
        <v>#N/A</v>
      </c>
      <c r="AA93" s="12">
        <f t="shared" si="15"/>
        <v>25.5</v>
      </c>
    </row>
    <row r="94" spans="1:27" x14ac:dyDescent="0.25">
      <c r="A94" t="s">
        <v>121</v>
      </c>
      <c r="B94" s="10" t="str">
        <f>BATCH20!A16</f>
        <v>20-14</v>
      </c>
      <c r="C94" s="11">
        <f>BATCH20!B16</f>
        <v>53</v>
      </c>
      <c r="D94" s="11">
        <f>BATCH20!C16</f>
        <v>53</v>
      </c>
      <c r="E94" s="12">
        <f t="shared" si="16"/>
        <v>53</v>
      </c>
      <c r="F94" s="13">
        <f t="shared" si="17"/>
        <v>0</v>
      </c>
      <c r="G94" s="14">
        <f>BATCH20!D16</f>
        <v>23.12</v>
      </c>
      <c r="H94" s="15" t="str">
        <f t="shared" si="18"/>
        <v>Under</v>
      </c>
      <c r="I94" s="15" t="str">
        <f t="shared" si="19"/>
        <v>Yes</v>
      </c>
      <c r="J94" s="16">
        <f t="shared" si="20"/>
        <v>53.023119999999999</v>
      </c>
      <c r="K94" s="17">
        <f>RANK(J94,$J$31:$J$130,1)+COUNTIF($J$31:J94,J94)-1</f>
        <v>21</v>
      </c>
      <c r="L94" s="26">
        <f>IFERROR(MATCH(O94,GROUPS!$B$15:$B$50,0),"")</f>
        <v>5</v>
      </c>
      <c r="M94" s="13">
        <f t="shared" si="9"/>
        <v>51</v>
      </c>
      <c r="N94" s="13">
        <f t="shared" si="10"/>
        <v>23</v>
      </c>
      <c r="O94" t="str">
        <f t="shared" si="11"/>
        <v>51.0 lb / 23.0 g</v>
      </c>
      <c r="P94" s="18">
        <f t="shared" si="12"/>
        <v>5</v>
      </c>
      <c r="Y94" s="12">
        <f t="shared" si="13"/>
        <v>53</v>
      </c>
      <c r="Z94" s="12" t="e">
        <f t="shared" si="14"/>
        <v>#N/A</v>
      </c>
      <c r="AA94" s="12">
        <f t="shared" si="15"/>
        <v>23.12</v>
      </c>
    </row>
    <row r="95" spans="1:27" x14ac:dyDescent="0.25">
      <c r="A95" t="s">
        <v>121</v>
      </c>
      <c r="B95" s="10" t="str">
        <f>BATCH20!A17</f>
        <v>20-15</v>
      </c>
      <c r="C95" s="11">
        <f>BATCH20!B17</f>
        <v>57</v>
      </c>
      <c r="D95" s="11">
        <f>BATCH20!C17</f>
        <v>57</v>
      </c>
      <c r="E95" s="12">
        <f t="shared" si="16"/>
        <v>57</v>
      </c>
      <c r="F95" s="13">
        <f t="shared" si="17"/>
        <v>0</v>
      </c>
      <c r="G95" s="14">
        <f>BATCH20!D17</f>
        <v>23.64</v>
      </c>
      <c r="H95" s="15" t="str">
        <f t="shared" si="18"/>
        <v>In</v>
      </c>
      <c r="I95" s="15" t="str">
        <f t="shared" si="19"/>
        <v>Yes</v>
      </c>
      <c r="J95" s="16">
        <f t="shared" si="20"/>
        <v>57.02364</v>
      </c>
      <c r="K95" s="17">
        <f>RANK(J95,$J$31:$J$130,1)+COUNTIF($J$31:J95,J95)-1</f>
        <v>80</v>
      </c>
      <c r="L95" s="26">
        <f>IFERROR(MATCH(O95,GROUPS!$B$15:$B$50,0),"")</f>
        <v>14</v>
      </c>
      <c r="M95" s="13">
        <f t="shared" si="9"/>
        <v>57</v>
      </c>
      <c r="N95" s="13">
        <f t="shared" si="10"/>
        <v>23.5</v>
      </c>
      <c r="O95" t="str">
        <f t="shared" si="11"/>
        <v>57.0 lb / 23.5 g</v>
      </c>
      <c r="P95" s="18">
        <f t="shared" si="12"/>
        <v>4</v>
      </c>
      <c r="Y95" s="12">
        <f t="shared" si="13"/>
        <v>57</v>
      </c>
      <c r="Z95" s="12" t="e">
        <f t="shared" si="14"/>
        <v>#N/A</v>
      </c>
      <c r="AA95" s="12">
        <f t="shared" si="15"/>
        <v>23.64</v>
      </c>
    </row>
    <row r="96" spans="1:27" x14ac:dyDescent="0.25">
      <c r="A96" t="s">
        <v>121</v>
      </c>
      <c r="B96" s="10" t="str">
        <f>BATCH20!A18</f>
        <v>20-16</v>
      </c>
      <c r="C96" s="11">
        <f>BATCH20!B18</f>
        <v>55</v>
      </c>
      <c r="D96" s="11">
        <f>BATCH20!C18</f>
        <v>55</v>
      </c>
      <c r="E96" s="12">
        <f t="shared" si="16"/>
        <v>55</v>
      </c>
      <c r="F96" s="13">
        <f t="shared" si="17"/>
        <v>0</v>
      </c>
      <c r="G96" s="14">
        <f>BATCH20!D18</f>
        <v>23.71</v>
      </c>
      <c r="H96" s="15" t="str">
        <f t="shared" si="18"/>
        <v>In</v>
      </c>
      <c r="I96" s="15" t="str">
        <f t="shared" si="19"/>
        <v>Yes</v>
      </c>
      <c r="J96" s="16">
        <f t="shared" si="20"/>
        <v>55.023710000000001</v>
      </c>
      <c r="K96" s="17">
        <f>RANK(J96,$J$31:$J$130,1)+COUNTIF($J$31:J96,J96)-1</f>
        <v>36</v>
      </c>
      <c r="L96" s="26">
        <f>IFERROR(MATCH(O96,GROUPS!$B$15:$B$50,0),"")</f>
        <v>1</v>
      </c>
      <c r="M96" s="13">
        <f t="shared" ref="M96:M130" si="21">FLOOR(E96,$G$5)</f>
        <v>54</v>
      </c>
      <c r="N96" s="13">
        <f t="shared" ref="N96:N130" si="22">FLOOR(G96,$G$6)</f>
        <v>23.5</v>
      </c>
      <c r="O96" t="str">
        <f t="shared" ref="O96:O130" si="23">TEXT(M96,"0.0")&amp;" lb / "&amp;TEXT(N96,"0.0")&amp;" g"</f>
        <v>54.0 lb / 23.5 g</v>
      </c>
      <c r="P96" s="18">
        <f t="shared" ref="P96:P130" si="24">COUNTIF($O$31:$O$130,O96)</f>
        <v>10</v>
      </c>
      <c r="Y96" s="12">
        <f t="shared" ref="Y96:Y130" si="25">E96</f>
        <v>55</v>
      </c>
      <c r="Z96" s="12" t="e">
        <f t="shared" ref="Z96:Z130" si="26">IF($A96="Batch 19",$G96,NA())</f>
        <v>#N/A</v>
      </c>
      <c r="AA96" s="12">
        <f t="shared" ref="AA96:AA130" si="27">IF($A96="Batch 20",$G96,NA())</f>
        <v>23.71</v>
      </c>
    </row>
    <row r="97" spans="1:27" x14ac:dyDescent="0.25">
      <c r="A97" t="s">
        <v>121</v>
      </c>
      <c r="B97" s="10" t="str">
        <f>BATCH20!A19</f>
        <v>20-17</v>
      </c>
      <c r="C97" s="11">
        <f>BATCH20!B19</f>
        <v>53</v>
      </c>
      <c r="D97" s="11">
        <f>BATCH20!C19</f>
        <v>53</v>
      </c>
      <c r="E97" s="12">
        <f t="shared" si="16"/>
        <v>53</v>
      </c>
      <c r="F97" s="13">
        <f t="shared" si="17"/>
        <v>0</v>
      </c>
      <c r="G97" s="14">
        <f>BATCH20!D19</f>
        <v>22.75</v>
      </c>
      <c r="H97" s="15" t="str">
        <f t="shared" si="18"/>
        <v>Under</v>
      </c>
      <c r="I97" s="15" t="str">
        <f t="shared" si="19"/>
        <v>Yes</v>
      </c>
      <c r="J97" s="16">
        <f t="shared" si="20"/>
        <v>53.022750000000002</v>
      </c>
      <c r="K97" s="17">
        <f>RANK(J97,$J$31:$J$130,1)+COUNTIF($J$31:J97,J97)-1</f>
        <v>19</v>
      </c>
      <c r="L97" s="26">
        <f>IFERROR(MATCH(O97,GROUPS!$B$15:$B$50,0),"")</f>
        <v>16</v>
      </c>
      <c r="M97" s="13">
        <f t="shared" si="21"/>
        <v>51</v>
      </c>
      <c r="N97" s="13">
        <f t="shared" si="22"/>
        <v>22.5</v>
      </c>
      <c r="O97" t="str">
        <f t="shared" si="23"/>
        <v>51.0 lb / 22.5 g</v>
      </c>
      <c r="P97" s="18">
        <f t="shared" si="24"/>
        <v>2</v>
      </c>
      <c r="Y97" s="12">
        <f t="shared" si="25"/>
        <v>53</v>
      </c>
      <c r="Z97" s="12" t="e">
        <f t="shared" si="26"/>
        <v>#N/A</v>
      </c>
      <c r="AA97" s="12">
        <f t="shared" si="27"/>
        <v>22.75</v>
      </c>
    </row>
    <row r="98" spans="1:27" x14ac:dyDescent="0.25">
      <c r="A98" t="s">
        <v>121</v>
      </c>
      <c r="B98" s="10" t="str">
        <f>BATCH20!A20</f>
        <v>20-18</v>
      </c>
      <c r="C98" s="11">
        <f>BATCH20!B20</f>
        <v>56</v>
      </c>
      <c r="D98" s="11">
        <f>BATCH20!C20</f>
        <v>56</v>
      </c>
      <c r="E98" s="12">
        <f t="shared" si="16"/>
        <v>56</v>
      </c>
      <c r="F98" s="13">
        <f t="shared" si="17"/>
        <v>0</v>
      </c>
      <c r="G98" s="14">
        <f>BATCH20!D20</f>
        <v>25.13</v>
      </c>
      <c r="H98" s="15" t="str">
        <f t="shared" si="18"/>
        <v>In</v>
      </c>
      <c r="I98" s="15" t="str">
        <f t="shared" si="19"/>
        <v>Yes</v>
      </c>
      <c r="J98" s="16">
        <f t="shared" si="20"/>
        <v>56.025129999999997</v>
      </c>
      <c r="K98" s="17">
        <f>RANK(J98,$J$31:$J$130,1)+COUNTIF($J$31:J98,J98)-1</f>
        <v>72</v>
      </c>
      <c r="L98" s="26">
        <f>IFERROR(MATCH(O98,GROUPS!$B$15:$B$50,0),"")</f>
        <v>4</v>
      </c>
      <c r="M98" s="13">
        <f t="shared" si="21"/>
        <v>54</v>
      </c>
      <c r="N98" s="13">
        <f t="shared" si="22"/>
        <v>25</v>
      </c>
      <c r="O98" t="str">
        <f t="shared" si="23"/>
        <v>54.0 lb / 25.0 g</v>
      </c>
      <c r="P98" s="18">
        <f t="shared" si="24"/>
        <v>6</v>
      </c>
      <c r="Y98" s="12">
        <f t="shared" si="25"/>
        <v>56</v>
      </c>
      <c r="Z98" s="12" t="e">
        <f t="shared" si="26"/>
        <v>#N/A</v>
      </c>
      <c r="AA98" s="12">
        <f t="shared" si="27"/>
        <v>25.13</v>
      </c>
    </row>
    <row r="99" spans="1:27" x14ac:dyDescent="0.25">
      <c r="A99" t="s">
        <v>121</v>
      </c>
      <c r="B99" s="10" t="str">
        <f>BATCH20!A21</f>
        <v>20-19</v>
      </c>
      <c r="C99" s="11">
        <f>BATCH20!B21</f>
        <v>58</v>
      </c>
      <c r="D99" s="11">
        <f>BATCH20!C21</f>
        <v>58</v>
      </c>
      <c r="E99" s="12">
        <f t="shared" si="16"/>
        <v>58</v>
      </c>
      <c r="F99" s="13">
        <f t="shared" si="17"/>
        <v>0</v>
      </c>
      <c r="G99" s="14">
        <f>BATCH20!D21</f>
        <v>21.8</v>
      </c>
      <c r="H99" s="15" t="str">
        <f t="shared" si="18"/>
        <v>In</v>
      </c>
      <c r="I99" s="15" t="str">
        <f t="shared" si="19"/>
        <v>Yes</v>
      </c>
      <c r="J99" s="16">
        <f t="shared" si="20"/>
        <v>58.021799999999999</v>
      </c>
      <c r="K99" s="17">
        <f>RANK(J99,$J$31:$J$130,1)+COUNTIF($J$31:J99,J99)-1</f>
        <v>86</v>
      </c>
      <c r="L99" s="26">
        <f>IFERROR(MATCH(O99,GROUPS!$B$15:$B$50,0),"")</f>
        <v>27</v>
      </c>
      <c r="M99" s="13">
        <f t="shared" si="21"/>
        <v>57</v>
      </c>
      <c r="N99" s="13">
        <f t="shared" si="22"/>
        <v>21.5</v>
      </c>
      <c r="O99" t="str">
        <f t="shared" si="23"/>
        <v>57.0 lb / 21.5 g</v>
      </c>
      <c r="P99" s="18">
        <f t="shared" si="24"/>
        <v>1</v>
      </c>
      <c r="Y99" s="12">
        <f t="shared" si="25"/>
        <v>58</v>
      </c>
      <c r="Z99" s="12" t="e">
        <f t="shared" si="26"/>
        <v>#N/A</v>
      </c>
      <c r="AA99" s="12">
        <f t="shared" si="27"/>
        <v>21.8</v>
      </c>
    </row>
    <row r="100" spans="1:27" x14ac:dyDescent="0.25">
      <c r="A100" t="s">
        <v>121</v>
      </c>
      <c r="B100" s="10" t="str">
        <f>BATCH20!A22</f>
        <v>20-20</v>
      </c>
      <c r="C100" s="11">
        <f>BATCH20!B22</f>
        <v>53</v>
      </c>
      <c r="D100" s="11">
        <f>BATCH20!C22</f>
        <v>52</v>
      </c>
      <c r="E100" s="12">
        <f t="shared" si="16"/>
        <v>52.5</v>
      </c>
      <c r="F100" s="13">
        <f t="shared" si="17"/>
        <v>1</v>
      </c>
      <c r="G100" s="14">
        <f>BATCH20!D22</f>
        <v>22.31</v>
      </c>
      <c r="H100" s="15" t="str">
        <f t="shared" si="18"/>
        <v>Under</v>
      </c>
      <c r="I100" s="15" t="str">
        <f t="shared" si="19"/>
        <v>Yes</v>
      </c>
      <c r="J100" s="16">
        <f t="shared" si="20"/>
        <v>52.522309999999997</v>
      </c>
      <c r="K100" s="17">
        <f>RANK(J100,$J$31:$J$130,1)+COUNTIF($J$31:J100,J100)-1</f>
        <v>12</v>
      </c>
      <c r="L100" s="26">
        <f>IFERROR(MATCH(O100,GROUPS!$B$15:$B$50,0),"")</f>
        <v>10</v>
      </c>
      <c r="M100" s="13">
        <f t="shared" si="21"/>
        <v>51</v>
      </c>
      <c r="N100" s="13">
        <f t="shared" si="22"/>
        <v>22</v>
      </c>
      <c r="O100" t="str">
        <f t="shared" si="23"/>
        <v>51.0 lb / 22.0 g</v>
      </c>
      <c r="P100" s="18">
        <f t="shared" si="24"/>
        <v>4</v>
      </c>
      <c r="Y100" s="12">
        <f t="shared" si="25"/>
        <v>52.5</v>
      </c>
      <c r="Z100" s="12" t="e">
        <f t="shared" si="26"/>
        <v>#N/A</v>
      </c>
      <c r="AA100" s="12">
        <f t="shared" si="27"/>
        <v>22.31</v>
      </c>
    </row>
    <row r="101" spans="1:27" x14ac:dyDescent="0.25">
      <c r="A101" t="s">
        <v>121</v>
      </c>
      <c r="B101" s="10" t="str">
        <f>BATCH20!A23</f>
        <v>20-21</v>
      </c>
      <c r="C101" s="11">
        <f>BATCH20!B23</f>
        <v>55</v>
      </c>
      <c r="D101" s="11">
        <f>BATCH20!C23</f>
        <v>55</v>
      </c>
      <c r="E101" s="12">
        <f t="shared" si="16"/>
        <v>55</v>
      </c>
      <c r="F101" s="13">
        <f t="shared" si="17"/>
        <v>0</v>
      </c>
      <c r="G101" s="14">
        <f>BATCH20!D23</f>
        <v>23.94</v>
      </c>
      <c r="H101" s="15" t="str">
        <f t="shared" si="18"/>
        <v>In</v>
      </c>
      <c r="I101" s="15" t="str">
        <f t="shared" si="19"/>
        <v>Yes</v>
      </c>
      <c r="J101" s="16">
        <f t="shared" si="20"/>
        <v>55.023940000000003</v>
      </c>
      <c r="K101" s="17">
        <f>RANK(J101,$J$31:$J$130,1)+COUNTIF($J$31:J101,J101)-1</f>
        <v>42</v>
      </c>
      <c r="L101" s="26">
        <f>IFERROR(MATCH(O101,GROUPS!$B$15:$B$50,0),"")</f>
        <v>1</v>
      </c>
      <c r="M101" s="13">
        <f t="shared" si="21"/>
        <v>54</v>
      </c>
      <c r="N101" s="13">
        <f t="shared" si="22"/>
        <v>23.5</v>
      </c>
      <c r="O101" t="str">
        <f t="shared" si="23"/>
        <v>54.0 lb / 23.5 g</v>
      </c>
      <c r="P101" s="18">
        <f t="shared" si="24"/>
        <v>10</v>
      </c>
      <c r="Y101" s="12">
        <f t="shared" si="25"/>
        <v>55</v>
      </c>
      <c r="Z101" s="12" t="e">
        <f t="shared" si="26"/>
        <v>#N/A</v>
      </c>
      <c r="AA101" s="12">
        <f t="shared" si="27"/>
        <v>23.94</v>
      </c>
    </row>
    <row r="102" spans="1:27" x14ac:dyDescent="0.25">
      <c r="A102" t="s">
        <v>121</v>
      </c>
      <c r="B102" s="10" t="str">
        <f>BATCH20!A24</f>
        <v>20-22</v>
      </c>
      <c r="C102" s="11">
        <f>BATCH20!B24</f>
        <v>56</v>
      </c>
      <c r="D102" s="11">
        <f>BATCH20!C24</f>
        <v>56</v>
      </c>
      <c r="E102" s="12">
        <f t="shared" si="16"/>
        <v>56</v>
      </c>
      <c r="F102" s="13">
        <f t="shared" si="17"/>
        <v>0</v>
      </c>
      <c r="G102" s="14">
        <f>BATCH20!D24</f>
        <v>22.44</v>
      </c>
      <c r="H102" s="15" t="str">
        <f t="shared" si="18"/>
        <v>In</v>
      </c>
      <c r="I102" s="15" t="str">
        <f t="shared" si="19"/>
        <v>Yes</v>
      </c>
      <c r="J102" s="16">
        <f t="shared" si="20"/>
        <v>56.022440000000003</v>
      </c>
      <c r="K102" s="17">
        <f>RANK(J102,$J$31:$J$130,1)+COUNTIF($J$31:J102,J102)-1</f>
        <v>65</v>
      </c>
      <c r="L102" s="26">
        <f>IFERROR(MATCH(O102,GROUPS!$B$15:$B$50,0),"")</f>
        <v>6</v>
      </c>
      <c r="M102" s="13">
        <f t="shared" si="21"/>
        <v>54</v>
      </c>
      <c r="N102" s="13">
        <f t="shared" si="22"/>
        <v>22</v>
      </c>
      <c r="O102" t="str">
        <f t="shared" si="23"/>
        <v>54.0 lb / 22.0 g</v>
      </c>
      <c r="P102" s="18">
        <f t="shared" si="24"/>
        <v>5</v>
      </c>
      <c r="Y102" s="12">
        <f t="shared" si="25"/>
        <v>56</v>
      </c>
      <c r="Z102" s="12" t="e">
        <f t="shared" si="26"/>
        <v>#N/A</v>
      </c>
      <c r="AA102" s="12">
        <f t="shared" si="27"/>
        <v>22.44</v>
      </c>
    </row>
    <row r="103" spans="1:27" x14ac:dyDescent="0.25">
      <c r="A103" t="s">
        <v>121</v>
      </c>
      <c r="B103" s="10" t="str">
        <f>BATCH20!A25</f>
        <v>20-23</v>
      </c>
      <c r="C103" s="11">
        <f>BATCH20!B25</f>
        <v>55</v>
      </c>
      <c r="D103" s="11">
        <f>BATCH20!C25</f>
        <v>55</v>
      </c>
      <c r="E103" s="12">
        <f t="shared" si="16"/>
        <v>55</v>
      </c>
      <c r="F103" s="13">
        <f t="shared" si="17"/>
        <v>0</v>
      </c>
      <c r="G103" s="14">
        <f>BATCH20!D25</f>
        <v>23.82</v>
      </c>
      <c r="H103" s="15" t="str">
        <f t="shared" si="18"/>
        <v>In</v>
      </c>
      <c r="I103" s="15" t="str">
        <f t="shared" si="19"/>
        <v>Yes</v>
      </c>
      <c r="J103" s="16">
        <f t="shared" si="20"/>
        <v>55.023820000000001</v>
      </c>
      <c r="K103" s="17">
        <f>RANK(J103,$J$31:$J$130,1)+COUNTIF($J$31:J103,J103)-1</f>
        <v>38</v>
      </c>
      <c r="L103" s="26">
        <f>IFERROR(MATCH(O103,GROUPS!$B$15:$B$50,0),"")</f>
        <v>1</v>
      </c>
      <c r="M103" s="13">
        <f t="shared" si="21"/>
        <v>54</v>
      </c>
      <c r="N103" s="13">
        <f t="shared" si="22"/>
        <v>23.5</v>
      </c>
      <c r="O103" t="str">
        <f t="shared" si="23"/>
        <v>54.0 lb / 23.5 g</v>
      </c>
      <c r="P103" s="18">
        <f t="shared" si="24"/>
        <v>10</v>
      </c>
      <c r="Y103" s="12">
        <f t="shared" si="25"/>
        <v>55</v>
      </c>
      <c r="Z103" s="12" t="e">
        <f t="shared" si="26"/>
        <v>#N/A</v>
      </c>
      <c r="AA103" s="12">
        <f t="shared" si="27"/>
        <v>23.82</v>
      </c>
    </row>
    <row r="104" spans="1:27" x14ac:dyDescent="0.25">
      <c r="A104" t="s">
        <v>121</v>
      </c>
      <c r="B104" s="10" t="str">
        <f>BATCH20!A26</f>
        <v>20-24</v>
      </c>
      <c r="C104" s="11">
        <f>BATCH20!B26</f>
        <v>59</v>
      </c>
      <c r="D104" s="11">
        <f>BATCH20!C26</f>
        <v>58</v>
      </c>
      <c r="E104" s="12">
        <f t="shared" si="16"/>
        <v>58.5</v>
      </c>
      <c r="F104" s="13">
        <f t="shared" si="17"/>
        <v>1</v>
      </c>
      <c r="G104" s="14">
        <f>BATCH20!D26</f>
        <v>24.48</v>
      </c>
      <c r="H104" s="15" t="str">
        <f t="shared" si="18"/>
        <v>In</v>
      </c>
      <c r="I104" s="15" t="str">
        <f t="shared" si="19"/>
        <v>Yes</v>
      </c>
      <c r="J104" s="16">
        <f t="shared" si="20"/>
        <v>58.524479999999997</v>
      </c>
      <c r="K104" s="17">
        <f>RANK(J104,$J$31:$J$130,1)+COUNTIF($J$31:J104,J104)-1</f>
        <v>95</v>
      </c>
      <c r="L104" s="26">
        <f>IFERROR(MATCH(O104,GROUPS!$B$15:$B$50,0),"")</f>
        <v>9</v>
      </c>
      <c r="M104" s="13">
        <f t="shared" si="21"/>
        <v>57</v>
      </c>
      <c r="N104" s="13">
        <f t="shared" si="22"/>
        <v>24</v>
      </c>
      <c r="O104" t="str">
        <f t="shared" si="23"/>
        <v>57.0 lb / 24.0 g</v>
      </c>
      <c r="P104" s="18">
        <f t="shared" si="24"/>
        <v>5</v>
      </c>
      <c r="Y104" s="12">
        <f t="shared" si="25"/>
        <v>58.5</v>
      </c>
      <c r="Z104" s="12" t="e">
        <f t="shared" si="26"/>
        <v>#N/A</v>
      </c>
      <c r="AA104" s="12">
        <f t="shared" si="27"/>
        <v>24.48</v>
      </c>
    </row>
    <row r="105" spans="1:27" x14ac:dyDescent="0.25">
      <c r="A105" t="s">
        <v>121</v>
      </c>
      <c r="B105" s="10" t="str">
        <f>BATCH20!A27</f>
        <v>20-25</v>
      </c>
      <c r="C105" s="11">
        <f>BATCH20!B27</f>
        <v>56</v>
      </c>
      <c r="D105" s="11">
        <f>BATCH20!C27</f>
        <v>56</v>
      </c>
      <c r="E105" s="12">
        <f t="shared" si="16"/>
        <v>56</v>
      </c>
      <c r="F105" s="13">
        <f t="shared" si="17"/>
        <v>0</v>
      </c>
      <c r="G105" s="14">
        <f>BATCH20!D27</f>
        <v>24.35</v>
      </c>
      <c r="H105" s="15" t="str">
        <f t="shared" si="18"/>
        <v>In</v>
      </c>
      <c r="I105" s="15" t="str">
        <f t="shared" si="19"/>
        <v>Yes</v>
      </c>
      <c r="J105" s="16">
        <f t="shared" si="20"/>
        <v>56.024349999999998</v>
      </c>
      <c r="K105" s="17">
        <f>RANK(J105,$J$31:$J$130,1)+COUNTIF($J$31:J105,J105)-1</f>
        <v>70</v>
      </c>
      <c r="L105" s="26">
        <f>IFERROR(MATCH(O105,GROUPS!$B$15:$B$50,0),"")</f>
        <v>7</v>
      </c>
      <c r="M105" s="13">
        <f t="shared" si="21"/>
        <v>54</v>
      </c>
      <c r="N105" s="13">
        <f t="shared" si="22"/>
        <v>24</v>
      </c>
      <c r="O105" t="str">
        <f t="shared" si="23"/>
        <v>54.0 lb / 24.0 g</v>
      </c>
      <c r="P105" s="18">
        <f t="shared" si="24"/>
        <v>5</v>
      </c>
      <c r="Y105" s="12">
        <f t="shared" si="25"/>
        <v>56</v>
      </c>
      <c r="Z105" s="12" t="e">
        <f t="shared" si="26"/>
        <v>#N/A</v>
      </c>
      <c r="AA105" s="12">
        <f t="shared" si="27"/>
        <v>24.35</v>
      </c>
    </row>
    <row r="106" spans="1:27" x14ac:dyDescent="0.25">
      <c r="A106" t="s">
        <v>121</v>
      </c>
      <c r="B106" s="10" t="str">
        <f>BATCH20!A28</f>
        <v>20-26</v>
      </c>
      <c r="C106" s="11">
        <f>BATCH20!B28</f>
        <v>55</v>
      </c>
      <c r="D106" s="11">
        <f>BATCH20!C28</f>
        <v>55</v>
      </c>
      <c r="E106" s="12">
        <f t="shared" si="16"/>
        <v>55</v>
      </c>
      <c r="F106" s="13">
        <f t="shared" si="17"/>
        <v>0</v>
      </c>
      <c r="G106" s="14">
        <f>BATCH20!D28</f>
        <v>23.1</v>
      </c>
      <c r="H106" s="15" t="str">
        <f t="shared" si="18"/>
        <v>In</v>
      </c>
      <c r="I106" s="15" t="str">
        <f t="shared" si="19"/>
        <v>Yes</v>
      </c>
      <c r="J106" s="16">
        <f t="shared" si="20"/>
        <v>55.023099999999999</v>
      </c>
      <c r="K106" s="17">
        <f>RANK(J106,$J$31:$J$130,1)+COUNTIF($J$31:J106,J106)-1</f>
        <v>35</v>
      </c>
      <c r="L106" s="26">
        <f>IFERROR(MATCH(O106,GROUPS!$B$15:$B$50,0),"")</f>
        <v>2</v>
      </c>
      <c r="M106" s="13">
        <f t="shared" si="21"/>
        <v>54</v>
      </c>
      <c r="N106" s="13">
        <f t="shared" si="22"/>
        <v>23</v>
      </c>
      <c r="O106" t="str">
        <f t="shared" si="23"/>
        <v>54.0 lb / 23.0 g</v>
      </c>
      <c r="P106" s="18">
        <f t="shared" si="24"/>
        <v>9</v>
      </c>
      <c r="Y106" s="12">
        <f t="shared" si="25"/>
        <v>55</v>
      </c>
      <c r="Z106" s="12" t="e">
        <f t="shared" si="26"/>
        <v>#N/A</v>
      </c>
      <c r="AA106" s="12">
        <f t="shared" si="27"/>
        <v>23.1</v>
      </c>
    </row>
    <row r="107" spans="1:27" x14ac:dyDescent="0.25">
      <c r="A107" t="s">
        <v>121</v>
      </c>
      <c r="B107" s="10" t="str">
        <f>BATCH20!A29</f>
        <v>20-27</v>
      </c>
      <c r="C107" s="11">
        <f>BATCH20!B29</f>
        <v>56</v>
      </c>
      <c r="D107" s="11">
        <f>BATCH20!C29</f>
        <v>55</v>
      </c>
      <c r="E107" s="12">
        <f t="shared" si="16"/>
        <v>55.5</v>
      </c>
      <c r="F107" s="13">
        <f t="shared" si="17"/>
        <v>1</v>
      </c>
      <c r="G107" s="14">
        <f>BATCH20!D29</f>
        <v>21.5</v>
      </c>
      <c r="H107" s="15" t="str">
        <f t="shared" si="18"/>
        <v>In</v>
      </c>
      <c r="I107" s="15" t="str">
        <f t="shared" si="19"/>
        <v>Yes</v>
      </c>
      <c r="J107" s="16">
        <f t="shared" si="20"/>
        <v>55.521500000000003</v>
      </c>
      <c r="K107" s="17">
        <f>RANK(J107,$J$31:$J$130,1)+COUNTIF($J$31:J107,J107)-1</f>
        <v>51</v>
      </c>
      <c r="L107" s="26">
        <f>IFERROR(MATCH(O107,GROUPS!$B$15:$B$50,0),"")</f>
        <v>11</v>
      </c>
      <c r="M107" s="13">
        <f t="shared" si="21"/>
        <v>54</v>
      </c>
      <c r="N107" s="13">
        <f t="shared" si="22"/>
        <v>21.5</v>
      </c>
      <c r="O107" t="str">
        <f t="shared" si="23"/>
        <v>54.0 lb / 21.5 g</v>
      </c>
      <c r="P107" s="18">
        <f t="shared" si="24"/>
        <v>4</v>
      </c>
      <c r="Y107" s="12">
        <f t="shared" si="25"/>
        <v>55.5</v>
      </c>
      <c r="Z107" s="12" t="e">
        <f t="shared" si="26"/>
        <v>#N/A</v>
      </c>
      <c r="AA107" s="12">
        <f t="shared" si="27"/>
        <v>21.5</v>
      </c>
    </row>
    <row r="108" spans="1:27" x14ac:dyDescent="0.25">
      <c r="A108" t="s">
        <v>121</v>
      </c>
      <c r="B108" s="10" t="str">
        <f>BATCH20!A30</f>
        <v>20-28</v>
      </c>
      <c r="C108" s="11">
        <f>BATCH20!B30</f>
        <v>55</v>
      </c>
      <c r="D108" s="11">
        <f>BATCH20!C30</f>
        <v>55</v>
      </c>
      <c r="E108" s="12">
        <f t="shared" si="16"/>
        <v>55</v>
      </c>
      <c r="F108" s="13">
        <f t="shared" si="17"/>
        <v>0</v>
      </c>
      <c r="G108" s="14">
        <f>BATCH20!D30</f>
        <v>24.34</v>
      </c>
      <c r="H108" s="15" t="str">
        <f t="shared" si="18"/>
        <v>In</v>
      </c>
      <c r="I108" s="15" t="str">
        <f t="shared" si="19"/>
        <v>Yes</v>
      </c>
      <c r="J108" s="16">
        <f t="shared" si="20"/>
        <v>55.024340000000002</v>
      </c>
      <c r="K108" s="17">
        <f>RANK(J108,$J$31:$J$130,1)+COUNTIF($J$31:J108,J108)-1</f>
        <v>45</v>
      </c>
      <c r="L108" s="26">
        <f>IFERROR(MATCH(O108,GROUPS!$B$15:$B$50,0),"")</f>
        <v>7</v>
      </c>
      <c r="M108" s="13">
        <f t="shared" si="21"/>
        <v>54</v>
      </c>
      <c r="N108" s="13">
        <f t="shared" si="22"/>
        <v>24</v>
      </c>
      <c r="O108" t="str">
        <f t="shared" si="23"/>
        <v>54.0 lb / 24.0 g</v>
      </c>
      <c r="P108" s="18">
        <f t="shared" si="24"/>
        <v>5</v>
      </c>
      <c r="Y108" s="12">
        <f t="shared" si="25"/>
        <v>55</v>
      </c>
      <c r="Z108" s="12" t="e">
        <f t="shared" si="26"/>
        <v>#N/A</v>
      </c>
      <c r="AA108" s="12">
        <f t="shared" si="27"/>
        <v>24.34</v>
      </c>
    </row>
    <row r="109" spans="1:27" x14ac:dyDescent="0.25">
      <c r="A109" t="s">
        <v>121</v>
      </c>
      <c r="B109" s="10" t="str">
        <f>BATCH20!A31</f>
        <v>20-29</v>
      </c>
      <c r="C109" s="11">
        <f>BATCH20!B31</f>
        <v>55</v>
      </c>
      <c r="D109" s="11">
        <f>BATCH20!C31</f>
        <v>55</v>
      </c>
      <c r="E109" s="12">
        <f t="shared" si="16"/>
        <v>55</v>
      </c>
      <c r="F109" s="13">
        <f t="shared" si="17"/>
        <v>0</v>
      </c>
      <c r="G109" s="14">
        <f>BATCH20!D31</f>
        <v>25.35</v>
      </c>
      <c r="H109" s="15" t="str">
        <f t="shared" si="18"/>
        <v>In</v>
      </c>
      <c r="I109" s="15" t="str">
        <f t="shared" si="19"/>
        <v>Yes</v>
      </c>
      <c r="J109" s="16">
        <f t="shared" si="20"/>
        <v>55.025350000000003</v>
      </c>
      <c r="K109" s="17">
        <f>RANK(J109,$J$31:$J$130,1)+COUNTIF($J$31:J109,J109)-1</f>
        <v>48</v>
      </c>
      <c r="L109" s="26">
        <f>IFERROR(MATCH(O109,GROUPS!$B$15:$B$50,0),"")</f>
        <v>4</v>
      </c>
      <c r="M109" s="13">
        <f t="shared" si="21"/>
        <v>54</v>
      </c>
      <c r="N109" s="13">
        <f t="shared" si="22"/>
        <v>25</v>
      </c>
      <c r="O109" t="str">
        <f t="shared" si="23"/>
        <v>54.0 lb / 25.0 g</v>
      </c>
      <c r="P109" s="18">
        <f t="shared" si="24"/>
        <v>6</v>
      </c>
      <c r="Y109" s="12">
        <f t="shared" si="25"/>
        <v>55</v>
      </c>
      <c r="Z109" s="12" t="e">
        <f t="shared" si="26"/>
        <v>#N/A</v>
      </c>
      <c r="AA109" s="12">
        <f t="shared" si="27"/>
        <v>25.35</v>
      </c>
    </row>
    <row r="110" spans="1:27" x14ac:dyDescent="0.25">
      <c r="A110" t="s">
        <v>121</v>
      </c>
      <c r="B110" s="10" t="str">
        <f>BATCH20!A32</f>
        <v>20-30</v>
      </c>
      <c r="C110" s="11">
        <f>BATCH20!B32</f>
        <v>55</v>
      </c>
      <c r="D110" s="11">
        <f>BATCH20!C32</f>
        <v>55</v>
      </c>
      <c r="E110" s="12">
        <f t="shared" si="16"/>
        <v>55</v>
      </c>
      <c r="F110" s="13">
        <f t="shared" si="17"/>
        <v>0</v>
      </c>
      <c r="G110" s="14">
        <f>BATCH20!D32</f>
        <v>22.97</v>
      </c>
      <c r="H110" s="15" t="str">
        <f t="shared" si="18"/>
        <v>In</v>
      </c>
      <c r="I110" s="15" t="str">
        <f t="shared" si="19"/>
        <v>Yes</v>
      </c>
      <c r="J110" s="16">
        <f t="shared" si="20"/>
        <v>55.022970000000001</v>
      </c>
      <c r="K110" s="17">
        <f>RANK(J110,$J$31:$J$130,1)+COUNTIF($J$31:J110,J110)-1</f>
        <v>33</v>
      </c>
      <c r="L110" s="26">
        <f>IFERROR(MATCH(O110,GROUPS!$B$15:$B$50,0),"")</f>
        <v>12</v>
      </c>
      <c r="M110" s="13">
        <f t="shared" si="21"/>
        <v>54</v>
      </c>
      <c r="N110" s="13">
        <f t="shared" si="22"/>
        <v>22.5</v>
      </c>
      <c r="O110" t="str">
        <f t="shared" si="23"/>
        <v>54.0 lb / 22.5 g</v>
      </c>
      <c r="P110" s="18">
        <f t="shared" si="24"/>
        <v>4</v>
      </c>
      <c r="Y110" s="12">
        <f t="shared" si="25"/>
        <v>55</v>
      </c>
      <c r="Z110" s="12" t="e">
        <f t="shared" si="26"/>
        <v>#N/A</v>
      </c>
      <c r="AA110" s="12">
        <f t="shared" si="27"/>
        <v>22.97</v>
      </c>
    </row>
    <row r="111" spans="1:27" x14ac:dyDescent="0.25">
      <c r="A111" t="s">
        <v>121</v>
      </c>
      <c r="B111" s="10" t="str">
        <f>BATCH20!A33</f>
        <v>20-31</v>
      </c>
      <c r="C111" s="11">
        <f>BATCH20!B33</f>
        <v>53</v>
      </c>
      <c r="D111" s="11">
        <f>BATCH20!C33</f>
        <v>53</v>
      </c>
      <c r="E111" s="12">
        <f t="shared" si="16"/>
        <v>53</v>
      </c>
      <c r="F111" s="13">
        <f t="shared" si="17"/>
        <v>0</v>
      </c>
      <c r="G111" s="14">
        <f>BATCH20!D33</f>
        <v>22.06</v>
      </c>
      <c r="H111" s="15" t="str">
        <f t="shared" si="18"/>
        <v>Under</v>
      </c>
      <c r="I111" s="15" t="str">
        <f t="shared" si="19"/>
        <v>Yes</v>
      </c>
      <c r="J111" s="16">
        <f t="shared" si="20"/>
        <v>53.022060000000003</v>
      </c>
      <c r="K111" s="17">
        <f>RANK(J111,$J$31:$J$130,1)+COUNTIF($J$31:J111,J111)-1</f>
        <v>17</v>
      </c>
      <c r="L111" s="26">
        <f>IFERROR(MATCH(O111,GROUPS!$B$15:$B$50,0),"")</f>
        <v>10</v>
      </c>
      <c r="M111" s="13">
        <f t="shared" si="21"/>
        <v>51</v>
      </c>
      <c r="N111" s="13">
        <f t="shared" si="22"/>
        <v>22</v>
      </c>
      <c r="O111" t="str">
        <f t="shared" si="23"/>
        <v>51.0 lb / 22.0 g</v>
      </c>
      <c r="P111" s="18">
        <f t="shared" si="24"/>
        <v>4</v>
      </c>
      <c r="Y111" s="12">
        <f t="shared" si="25"/>
        <v>53</v>
      </c>
      <c r="Z111" s="12" t="e">
        <f t="shared" si="26"/>
        <v>#N/A</v>
      </c>
      <c r="AA111" s="12">
        <f t="shared" si="27"/>
        <v>22.06</v>
      </c>
    </row>
    <row r="112" spans="1:27" x14ac:dyDescent="0.25">
      <c r="A112" t="s">
        <v>121</v>
      </c>
      <c r="B112" s="10" t="str">
        <f>BATCH20!A34</f>
        <v>20-32</v>
      </c>
      <c r="C112" s="11">
        <f>BATCH20!B34</f>
        <v>53</v>
      </c>
      <c r="D112" s="11">
        <f>BATCH20!C34</f>
        <v>52</v>
      </c>
      <c r="E112" s="12">
        <f t="shared" si="16"/>
        <v>52.5</v>
      </c>
      <c r="F112" s="13">
        <f t="shared" si="17"/>
        <v>1</v>
      </c>
      <c r="G112" s="14">
        <f>BATCH20!D34</f>
        <v>24.46</v>
      </c>
      <c r="H112" s="15" t="str">
        <f t="shared" si="18"/>
        <v>Under</v>
      </c>
      <c r="I112" s="15" t="str">
        <f t="shared" si="19"/>
        <v>Yes</v>
      </c>
      <c r="J112" s="16">
        <f t="shared" si="20"/>
        <v>52.524459999999998</v>
      </c>
      <c r="K112" s="17">
        <f>RANK(J112,$J$31:$J$130,1)+COUNTIF($J$31:J112,J112)-1</f>
        <v>13</v>
      </c>
      <c r="L112" s="26">
        <f>IFERROR(MATCH(O112,GROUPS!$B$15:$B$50,0),"")</f>
        <v>18</v>
      </c>
      <c r="M112" s="13">
        <f t="shared" si="21"/>
        <v>51</v>
      </c>
      <c r="N112" s="13">
        <f t="shared" si="22"/>
        <v>24</v>
      </c>
      <c r="O112" t="str">
        <f t="shared" si="23"/>
        <v>51.0 lb / 24.0 g</v>
      </c>
      <c r="P112" s="18">
        <f t="shared" si="24"/>
        <v>2</v>
      </c>
      <c r="Y112" s="12">
        <f t="shared" si="25"/>
        <v>52.5</v>
      </c>
      <c r="Z112" s="12" t="e">
        <f t="shared" si="26"/>
        <v>#N/A</v>
      </c>
      <c r="AA112" s="12">
        <f t="shared" si="27"/>
        <v>24.46</v>
      </c>
    </row>
    <row r="113" spans="1:27" x14ac:dyDescent="0.25">
      <c r="A113" t="s">
        <v>121</v>
      </c>
      <c r="B113" s="10" t="str">
        <f>BATCH20!A35</f>
        <v>20-33</v>
      </c>
      <c r="C113" s="11">
        <f>BATCH20!B35</f>
        <v>55</v>
      </c>
      <c r="D113" s="11">
        <f>BATCH20!C35</f>
        <v>55</v>
      </c>
      <c r="E113" s="12">
        <f t="shared" si="16"/>
        <v>55</v>
      </c>
      <c r="F113" s="13">
        <f t="shared" si="17"/>
        <v>0</v>
      </c>
      <c r="G113" s="14">
        <f>BATCH20!D35</f>
        <v>23.77</v>
      </c>
      <c r="H113" s="15" t="str">
        <f t="shared" si="18"/>
        <v>In</v>
      </c>
      <c r="I113" s="15" t="str">
        <f t="shared" si="19"/>
        <v>Yes</v>
      </c>
      <c r="J113" s="16">
        <f t="shared" si="20"/>
        <v>55.023769999999999</v>
      </c>
      <c r="K113" s="17">
        <f>RANK(J113,$J$31:$J$130,1)+COUNTIF($J$31:J113,J113)-1</f>
        <v>37</v>
      </c>
      <c r="L113" s="26">
        <f>IFERROR(MATCH(O113,GROUPS!$B$15:$B$50,0),"")</f>
        <v>1</v>
      </c>
      <c r="M113" s="13">
        <f t="shared" si="21"/>
        <v>54</v>
      </c>
      <c r="N113" s="13">
        <f t="shared" si="22"/>
        <v>23.5</v>
      </c>
      <c r="O113" t="str">
        <f t="shared" si="23"/>
        <v>54.0 lb / 23.5 g</v>
      </c>
      <c r="P113" s="18">
        <f t="shared" si="24"/>
        <v>10</v>
      </c>
      <c r="Y113" s="12">
        <f t="shared" si="25"/>
        <v>55</v>
      </c>
      <c r="Z113" s="12" t="e">
        <f t="shared" si="26"/>
        <v>#N/A</v>
      </c>
      <c r="AA113" s="12">
        <f t="shared" si="27"/>
        <v>23.77</v>
      </c>
    </row>
    <row r="114" spans="1:27" x14ac:dyDescent="0.25">
      <c r="A114" t="s">
        <v>121</v>
      </c>
      <c r="B114" s="10" t="str">
        <f>BATCH20!A36</f>
        <v>20-34</v>
      </c>
      <c r="C114" s="11">
        <f>BATCH20!B36</f>
        <v>59</v>
      </c>
      <c r="D114" s="11">
        <f>BATCH20!C36</f>
        <v>58</v>
      </c>
      <c r="E114" s="12">
        <f t="shared" si="16"/>
        <v>58.5</v>
      </c>
      <c r="F114" s="13">
        <f t="shared" si="17"/>
        <v>1</v>
      </c>
      <c r="G114" s="14">
        <f>BATCH20!D36</f>
        <v>25.22</v>
      </c>
      <c r="H114" s="15" t="str">
        <f t="shared" si="18"/>
        <v>In</v>
      </c>
      <c r="I114" s="15" t="str">
        <f t="shared" si="19"/>
        <v>Yes</v>
      </c>
      <c r="J114" s="16">
        <f t="shared" si="20"/>
        <v>58.525219999999997</v>
      </c>
      <c r="K114" s="17">
        <f>RANK(J114,$J$31:$J$130,1)+COUNTIF($J$31:J114,J114)-1</f>
        <v>96</v>
      </c>
      <c r="L114" s="26">
        <f>IFERROR(MATCH(O114,GROUPS!$B$15:$B$50,0),"")</f>
        <v>15</v>
      </c>
      <c r="M114" s="13">
        <f t="shared" si="21"/>
        <v>57</v>
      </c>
      <c r="N114" s="13">
        <f t="shared" si="22"/>
        <v>25</v>
      </c>
      <c r="O114" t="str">
        <f t="shared" si="23"/>
        <v>57.0 lb / 25.0 g</v>
      </c>
      <c r="P114" s="18">
        <f t="shared" si="24"/>
        <v>3</v>
      </c>
      <c r="Y114" s="12">
        <f t="shared" si="25"/>
        <v>58.5</v>
      </c>
      <c r="Z114" s="12" t="e">
        <f t="shared" si="26"/>
        <v>#N/A</v>
      </c>
      <c r="AA114" s="12">
        <f t="shared" si="27"/>
        <v>25.22</v>
      </c>
    </row>
    <row r="115" spans="1:27" x14ac:dyDescent="0.25">
      <c r="A115" t="s">
        <v>121</v>
      </c>
      <c r="B115" s="10" t="str">
        <f>BATCH20!A37</f>
        <v>20-35</v>
      </c>
      <c r="C115" s="11">
        <f>BATCH20!B37</f>
        <v>56</v>
      </c>
      <c r="D115" s="11">
        <f>BATCH20!C37</f>
        <v>56</v>
      </c>
      <c r="E115" s="12">
        <f t="shared" si="16"/>
        <v>56</v>
      </c>
      <c r="F115" s="13">
        <f t="shared" si="17"/>
        <v>0</v>
      </c>
      <c r="G115" s="14">
        <f>BATCH20!D37</f>
        <v>23.89</v>
      </c>
      <c r="H115" s="15" t="str">
        <f t="shared" si="18"/>
        <v>In</v>
      </c>
      <c r="I115" s="15" t="str">
        <f t="shared" si="19"/>
        <v>Yes</v>
      </c>
      <c r="J115" s="16">
        <f t="shared" si="20"/>
        <v>56.023890000000002</v>
      </c>
      <c r="K115" s="17">
        <f>RANK(J115,$J$31:$J$130,1)+COUNTIF($J$31:J115,J115)-1</f>
        <v>68</v>
      </c>
      <c r="L115" s="26">
        <f>IFERROR(MATCH(O115,GROUPS!$B$15:$B$50,0),"")</f>
        <v>1</v>
      </c>
      <c r="M115" s="13">
        <f t="shared" si="21"/>
        <v>54</v>
      </c>
      <c r="N115" s="13">
        <f t="shared" si="22"/>
        <v>23.5</v>
      </c>
      <c r="O115" t="str">
        <f t="shared" si="23"/>
        <v>54.0 lb / 23.5 g</v>
      </c>
      <c r="P115" s="18">
        <f t="shared" si="24"/>
        <v>10</v>
      </c>
      <c r="Y115" s="12">
        <f t="shared" si="25"/>
        <v>56</v>
      </c>
      <c r="Z115" s="12" t="e">
        <f t="shared" si="26"/>
        <v>#N/A</v>
      </c>
      <c r="AA115" s="12">
        <f t="shared" si="27"/>
        <v>23.89</v>
      </c>
    </row>
    <row r="116" spans="1:27" x14ac:dyDescent="0.25">
      <c r="A116" t="s">
        <v>121</v>
      </c>
      <c r="B116" s="10" t="str">
        <f>BATCH20!A38</f>
        <v>20-36</v>
      </c>
      <c r="C116" s="11">
        <f>BATCH20!B38</f>
        <v>55</v>
      </c>
      <c r="D116" s="11">
        <f>BATCH20!C38</f>
        <v>55</v>
      </c>
      <c r="E116" s="12">
        <f t="shared" si="16"/>
        <v>55</v>
      </c>
      <c r="F116" s="13">
        <f t="shared" si="17"/>
        <v>0</v>
      </c>
      <c r="G116" s="14">
        <f>BATCH20!D38</f>
        <v>22.62</v>
      </c>
      <c r="H116" s="15" t="str">
        <f t="shared" si="18"/>
        <v>In</v>
      </c>
      <c r="I116" s="15" t="str">
        <f t="shared" si="19"/>
        <v>Yes</v>
      </c>
      <c r="J116" s="16">
        <f t="shared" si="20"/>
        <v>55.022620000000003</v>
      </c>
      <c r="K116" s="17">
        <f>RANK(J116,$J$31:$J$130,1)+COUNTIF($J$31:J116,J116)-1</f>
        <v>32</v>
      </c>
      <c r="L116" s="26">
        <f>IFERROR(MATCH(O116,GROUPS!$B$15:$B$50,0),"")</f>
        <v>12</v>
      </c>
      <c r="M116" s="13">
        <f t="shared" si="21"/>
        <v>54</v>
      </c>
      <c r="N116" s="13">
        <f t="shared" si="22"/>
        <v>22.5</v>
      </c>
      <c r="O116" t="str">
        <f t="shared" si="23"/>
        <v>54.0 lb / 22.5 g</v>
      </c>
      <c r="P116" s="18">
        <f t="shared" si="24"/>
        <v>4</v>
      </c>
      <c r="Y116" s="12">
        <f t="shared" si="25"/>
        <v>55</v>
      </c>
      <c r="Z116" s="12" t="e">
        <f t="shared" si="26"/>
        <v>#N/A</v>
      </c>
      <c r="AA116" s="12">
        <f t="shared" si="27"/>
        <v>22.62</v>
      </c>
    </row>
    <row r="117" spans="1:27" x14ac:dyDescent="0.25">
      <c r="A117" t="s">
        <v>121</v>
      </c>
      <c r="B117" s="10" t="str">
        <f>BATCH20!A39</f>
        <v>20-37</v>
      </c>
      <c r="C117" s="11">
        <f>BATCH20!B39</f>
        <v>55</v>
      </c>
      <c r="D117" s="11">
        <f>BATCH20!C39</f>
        <v>54</v>
      </c>
      <c r="E117" s="12">
        <f t="shared" si="16"/>
        <v>54.5</v>
      </c>
      <c r="F117" s="13">
        <f t="shared" si="17"/>
        <v>1</v>
      </c>
      <c r="G117" s="14">
        <f>BATCH20!D39</f>
        <v>21.46</v>
      </c>
      <c r="H117" s="15" t="str">
        <f t="shared" si="18"/>
        <v>In</v>
      </c>
      <c r="I117" s="15" t="str">
        <f t="shared" si="19"/>
        <v>Yes</v>
      </c>
      <c r="J117" s="16">
        <f t="shared" si="20"/>
        <v>54.521459999999998</v>
      </c>
      <c r="K117" s="17">
        <f>RANK(J117,$J$31:$J$130,1)+COUNTIF($J$31:J117,J117)-1</f>
        <v>28</v>
      </c>
      <c r="L117" s="26">
        <f>IFERROR(MATCH(O117,GROUPS!$B$15:$B$50,0),"")</f>
        <v>19</v>
      </c>
      <c r="M117" s="13">
        <f t="shared" si="21"/>
        <v>54</v>
      </c>
      <c r="N117" s="13">
        <f t="shared" si="22"/>
        <v>21</v>
      </c>
      <c r="O117" t="str">
        <f t="shared" si="23"/>
        <v>54.0 lb / 21.0 g</v>
      </c>
      <c r="P117" s="18">
        <f t="shared" si="24"/>
        <v>2</v>
      </c>
      <c r="Y117" s="12">
        <f t="shared" si="25"/>
        <v>54.5</v>
      </c>
      <c r="Z117" s="12" t="e">
        <f t="shared" si="26"/>
        <v>#N/A</v>
      </c>
      <c r="AA117" s="12">
        <f t="shared" si="27"/>
        <v>21.46</v>
      </c>
    </row>
    <row r="118" spans="1:27" x14ac:dyDescent="0.25">
      <c r="A118" t="s">
        <v>121</v>
      </c>
      <c r="B118" s="10" t="str">
        <f>BATCH20!A40</f>
        <v>20-38</v>
      </c>
      <c r="C118" s="11">
        <f>BATCH20!B40</f>
        <v>58</v>
      </c>
      <c r="D118" s="11">
        <f>BATCH20!C40</f>
        <v>58</v>
      </c>
      <c r="E118" s="12">
        <f t="shared" si="16"/>
        <v>58</v>
      </c>
      <c r="F118" s="13">
        <f t="shared" si="17"/>
        <v>0</v>
      </c>
      <c r="G118" s="14">
        <f>BATCH20!D40</f>
        <v>23</v>
      </c>
      <c r="H118" s="15" t="str">
        <f t="shared" si="18"/>
        <v>In</v>
      </c>
      <c r="I118" s="15" t="str">
        <f t="shared" si="19"/>
        <v>Yes</v>
      </c>
      <c r="J118" s="16">
        <f t="shared" si="20"/>
        <v>58.023000000000003</v>
      </c>
      <c r="K118" s="17">
        <f>RANK(J118,$J$31:$J$130,1)+COUNTIF($J$31:J118,J118)-1</f>
        <v>87</v>
      </c>
      <c r="L118" s="26">
        <f>IFERROR(MATCH(O118,GROUPS!$B$15:$B$50,0),"")</f>
        <v>13</v>
      </c>
      <c r="M118" s="13">
        <f t="shared" si="21"/>
        <v>57</v>
      </c>
      <c r="N118" s="13">
        <f t="shared" si="22"/>
        <v>23</v>
      </c>
      <c r="O118" t="str">
        <f t="shared" si="23"/>
        <v>57.0 lb / 23.0 g</v>
      </c>
      <c r="P118" s="18">
        <f t="shared" si="24"/>
        <v>4</v>
      </c>
      <c r="Y118" s="12">
        <f t="shared" si="25"/>
        <v>58</v>
      </c>
      <c r="Z118" s="12" t="e">
        <f t="shared" si="26"/>
        <v>#N/A</v>
      </c>
      <c r="AA118" s="12">
        <f t="shared" si="27"/>
        <v>23</v>
      </c>
    </row>
    <row r="119" spans="1:27" x14ac:dyDescent="0.25">
      <c r="A119" t="s">
        <v>121</v>
      </c>
      <c r="B119" s="10" t="str">
        <f>BATCH20!A41</f>
        <v>20-39</v>
      </c>
      <c r="C119" s="11">
        <f>BATCH20!B41</f>
        <v>52</v>
      </c>
      <c r="D119" s="11">
        <f>BATCH20!C41</f>
        <v>51</v>
      </c>
      <c r="E119" s="12">
        <f t="shared" si="16"/>
        <v>51.5</v>
      </c>
      <c r="F119" s="13">
        <f t="shared" si="17"/>
        <v>1</v>
      </c>
      <c r="G119" s="14">
        <f>BATCH20!D41</f>
        <v>22.36</v>
      </c>
      <c r="H119" s="15" t="str">
        <f t="shared" si="18"/>
        <v>Under</v>
      </c>
      <c r="I119" s="15" t="str">
        <f t="shared" si="19"/>
        <v>Yes</v>
      </c>
      <c r="J119" s="16">
        <f t="shared" si="20"/>
        <v>51.522359999999999</v>
      </c>
      <c r="K119" s="17">
        <f>RANK(J119,$J$31:$J$130,1)+COUNTIF($J$31:J119,J119)-1</f>
        <v>4</v>
      </c>
      <c r="L119" s="26">
        <f>IFERROR(MATCH(O119,GROUPS!$B$15:$B$50,0),"")</f>
        <v>10</v>
      </c>
      <c r="M119" s="13">
        <f t="shared" si="21"/>
        <v>51</v>
      </c>
      <c r="N119" s="13">
        <f t="shared" si="22"/>
        <v>22</v>
      </c>
      <c r="O119" t="str">
        <f t="shared" si="23"/>
        <v>51.0 lb / 22.0 g</v>
      </c>
      <c r="P119" s="18">
        <f t="shared" si="24"/>
        <v>4</v>
      </c>
      <c r="Y119" s="12">
        <f t="shared" si="25"/>
        <v>51.5</v>
      </c>
      <c r="Z119" s="12" t="e">
        <f t="shared" si="26"/>
        <v>#N/A</v>
      </c>
      <c r="AA119" s="12">
        <f t="shared" si="27"/>
        <v>22.36</v>
      </c>
    </row>
    <row r="120" spans="1:27" x14ac:dyDescent="0.25">
      <c r="A120" t="s">
        <v>121</v>
      </c>
      <c r="B120" s="10" t="str">
        <f>BATCH20!A42</f>
        <v>20-40</v>
      </c>
      <c r="C120" s="11">
        <f>BATCH20!B42</f>
        <v>51</v>
      </c>
      <c r="D120" s="11">
        <f>BATCH20!C42</f>
        <v>51</v>
      </c>
      <c r="E120" s="12">
        <f t="shared" si="16"/>
        <v>51</v>
      </c>
      <c r="F120" s="13">
        <f t="shared" si="17"/>
        <v>0</v>
      </c>
      <c r="G120" s="14">
        <f>BATCH20!D42</f>
        <v>21.79</v>
      </c>
      <c r="H120" s="15" t="str">
        <f t="shared" si="18"/>
        <v>Under</v>
      </c>
      <c r="I120" s="15" t="str">
        <f t="shared" si="19"/>
        <v>Yes</v>
      </c>
      <c r="J120" s="16">
        <f t="shared" si="20"/>
        <v>51.021790000000003</v>
      </c>
      <c r="K120" s="17">
        <f>RANK(J120,$J$31:$J$130,1)+COUNTIF($J$31:J120,J120)-1</f>
        <v>2</v>
      </c>
      <c r="L120" s="26">
        <f>IFERROR(MATCH(O120,GROUPS!$B$15:$B$50,0),"")</f>
        <v>3</v>
      </c>
      <c r="M120" s="13">
        <f t="shared" si="21"/>
        <v>51</v>
      </c>
      <c r="N120" s="13">
        <f t="shared" si="22"/>
        <v>21.5</v>
      </c>
      <c r="O120" t="str">
        <f t="shared" si="23"/>
        <v>51.0 lb / 21.5 g</v>
      </c>
      <c r="P120" s="18">
        <f t="shared" si="24"/>
        <v>6</v>
      </c>
      <c r="Y120" s="12">
        <f t="shared" si="25"/>
        <v>51</v>
      </c>
      <c r="Z120" s="12" t="e">
        <f t="shared" si="26"/>
        <v>#N/A</v>
      </c>
      <c r="AA120" s="12">
        <f t="shared" si="27"/>
        <v>21.79</v>
      </c>
    </row>
    <row r="121" spans="1:27" x14ac:dyDescent="0.25">
      <c r="A121" t="s">
        <v>121</v>
      </c>
      <c r="B121" s="10" t="str">
        <f>BATCH20!A43</f>
        <v>20-41</v>
      </c>
      <c r="C121" s="11">
        <f>BATCH20!B43</f>
        <v>58</v>
      </c>
      <c r="D121" s="11">
        <f>BATCH20!C43</f>
        <v>58</v>
      </c>
      <c r="E121" s="12">
        <f t="shared" si="16"/>
        <v>58</v>
      </c>
      <c r="F121" s="13">
        <f t="shared" si="17"/>
        <v>0</v>
      </c>
      <c r="G121" s="14">
        <f>BATCH20!D43</f>
        <v>26.09</v>
      </c>
      <c r="H121" s="15" t="str">
        <f t="shared" si="18"/>
        <v>In</v>
      </c>
      <c r="I121" s="15" t="str">
        <f t="shared" si="19"/>
        <v>Yes</v>
      </c>
      <c r="J121" s="16">
        <f t="shared" si="20"/>
        <v>58.026090000000003</v>
      </c>
      <c r="K121" s="17">
        <f>RANK(J121,$J$31:$J$130,1)+COUNTIF($J$31:J121,J121)-1</f>
        <v>93</v>
      </c>
      <c r="L121" s="26">
        <f>IFERROR(MATCH(O121,GROUPS!$B$15:$B$50,0),"")</f>
        <v>22</v>
      </c>
      <c r="M121" s="13">
        <f t="shared" si="21"/>
        <v>57</v>
      </c>
      <c r="N121" s="13">
        <f t="shared" si="22"/>
        <v>26</v>
      </c>
      <c r="O121" t="str">
        <f t="shared" si="23"/>
        <v>57.0 lb / 26.0 g</v>
      </c>
      <c r="P121" s="18">
        <f t="shared" si="24"/>
        <v>2</v>
      </c>
      <c r="Y121" s="12">
        <f t="shared" si="25"/>
        <v>58</v>
      </c>
      <c r="Z121" s="12" t="e">
        <f t="shared" si="26"/>
        <v>#N/A</v>
      </c>
      <c r="AA121" s="12">
        <f t="shared" si="27"/>
        <v>26.09</v>
      </c>
    </row>
    <row r="122" spans="1:27" x14ac:dyDescent="0.25">
      <c r="A122" t="s">
        <v>121</v>
      </c>
      <c r="B122" s="10" t="str">
        <f>BATCH20!A44</f>
        <v>20-42</v>
      </c>
      <c r="C122" s="11">
        <f>BATCH20!B44</f>
        <v>52</v>
      </c>
      <c r="D122" s="11">
        <f>BATCH20!C44</f>
        <v>52</v>
      </c>
      <c r="E122" s="12">
        <f t="shared" si="16"/>
        <v>52</v>
      </c>
      <c r="F122" s="13">
        <f t="shared" si="17"/>
        <v>0</v>
      </c>
      <c r="G122" s="14">
        <f>BATCH20!D44</f>
        <v>23.78</v>
      </c>
      <c r="H122" s="15" t="str">
        <f t="shared" si="18"/>
        <v>Under</v>
      </c>
      <c r="I122" s="15" t="str">
        <f t="shared" si="19"/>
        <v>Yes</v>
      </c>
      <c r="J122" s="16">
        <f t="shared" si="20"/>
        <v>52.023780000000002</v>
      </c>
      <c r="K122" s="17">
        <f>RANK(J122,$J$31:$J$130,1)+COUNTIF($J$31:J122,J122)-1</f>
        <v>11</v>
      </c>
      <c r="L122" s="26">
        <f>IFERROR(MATCH(O122,GROUPS!$B$15:$B$50,0),"")</f>
        <v>17</v>
      </c>
      <c r="M122" s="13">
        <f t="shared" si="21"/>
        <v>51</v>
      </c>
      <c r="N122" s="13">
        <f t="shared" si="22"/>
        <v>23.5</v>
      </c>
      <c r="O122" t="str">
        <f t="shared" si="23"/>
        <v>51.0 lb / 23.5 g</v>
      </c>
      <c r="P122" s="18">
        <f t="shared" si="24"/>
        <v>2</v>
      </c>
      <c r="Y122" s="12">
        <f t="shared" si="25"/>
        <v>52</v>
      </c>
      <c r="Z122" s="12" t="e">
        <f t="shared" si="26"/>
        <v>#N/A</v>
      </c>
      <c r="AA122" s="12">
        <f t="shared" si="27"/>
        <v>23.78</v>
      </c>
    </row>
    <row r="123" spans="1:27" x14ac:dyDescent="0.25">
      <c r="A123" t="s">
        <v>121</v>
      </c>
      <c r="B123" s="10" t="str">
        <f>BATCH20!A45</f>
        <v>20-43</v>
      </c>
      <c r="C123" s="11">
        <f>BATCH20!B45</f>
        <v>53</v>
      </c>
      <c r="D123" s="11">
        <f>BATCH20!C45</f>
        <v>53</v>
      </c>
      <c r="E123" s="12">
        <f t="shared" si="16"/>
        <v>53</v>
      </c>
      <c r="F123" s="13">
        <f t="shared" si="17"/>
        <v>0</v>
      </c>
      <c r="G123" s="14">
        <f>BATCH20!D45</f>
        <v>25.3</v>
      </c>
      <c r="H123" s="15" t="str">
        <f t="shared" si="18"/>
        <v>Under</v>
      </c>
      <c r="I123" s="15" t="str">
        <f t="shared" si="19"/>
        <v>Yes</v>
      </c>
      <c r="J123" s="16">
        <f t="shared" si="20"/>
        <v>53.025300000000001</v>
      </c>
      <c r="K123" s="17">
        <f>RANK(J123,$J$31:$J$130,1)+COUNTIF($J$31:J123,J123)-1</f>
        <v>23</v>
      </c>
      <c r="L123" s="26">
        <f>IFERROR(MATCH(O123,GROUPS!$B$15:$B$50,0),"")</f>
        <v>25</v>
      </c>
      <c r="M123" s="13">
        <f t="shared" si="21"/>
        <v>51</v>
      </c>
      <c r="N123" s="13">
        <f t="shared" si="22"/>
        <v>25</v>
      </c>
      <c r="O123" t="str">
        <f t="shared" si="23"/>
        <v>51.0 lb / 25.0 g</v>
      </c>
      <c r="P123" s="18">
        <f t="shared" si="24"/>
        <v>1</v>
      </c>
      <c r="Y123" s="12">
        <f t="shared" si="25"/>
        <v>53</v>
      </c>
      <c r="Z123" s="12" t="e">
        <f t="shared" si="26"/>
        <v>#N/A</v>
      </c>
      <c r="AA123" s="12">
        <f t="shared" si="27"/>
        <v>25.3</v>
      </c>
    </row>
    <row r="124" spans="1:27" x14ac:dyDescent="0.25">
      <c r="A124" t="s">
        <v>121</v>
      </c>
      <c r="B124" s="10" t="str">
        <f>BATCH20!A46</f>
        <v>20-44</v>
      </c>
      <c r="C124" s="11">
        <f>BATCH20!B46</f>
        <v>55</v>
      </c>
      <c r="D124" s="11">
        <f>BATCH20!C46</f>
        <v>55</v>
      </c>
      <c r="E124" s="12">
        <f t="shared" si="16"/>
        <v>55</v>
      </c>
      <c r="F124" s="13">
        <f t="shared" si="17"/>
        <v>0</v>
      </c>
      <c r="G124" s="14">
        <f>BATCH20!D46</f>
        <v>23.85</v>
      </c>
      <c r="H124" s="15" t="str">
        <f t="shared" si="18"/>
        <v>In</v>
      </c>
      <c r="I124" s="15" t="str">
        <f t="shared" si="19"/>
        <v>Yes</v>
      </c>
      <c r="J124" s="16">
        <f t="shared" si="20"/>
        <v>55.023850000000003</v>
      </c>
      <c r="K124" s="17">
        <f>RANK(J124,$J$31:$J$130,1)+COUNTIF($J$31:J124,J124)-1</f>
        <v>41</v>
      </c>
      <c r="L124" s="26">
        <f>IFERROR(MATCH(O124,GROUPS!$B$15:$B$50,0),"")</f>
        <v>1</v>
      </c>
      <c r="M124" s="13">
        <f t="shared" si="21"/>
        <v>54</v>
      </c>
      <c r="N124" s="13">
        <f t="shared" si="22"/>
        <v>23.5</v>
      </c>
      <c r="O124" t="str">
        <f t="shared" si="23"/>
        <v>54.0 lb / 23.5 g</v>
      </c>
      <c r="P124" s="18">
        <f t="shared" si="24"/>
        <v>10</v>
      </c>
      <c r="Y124" s="12">
        <f t="shared" si="25"/>
        <v>55</v>
      </c>
      <c r="Z124" s="12" t="e">
        <f t="shared" si="26"/>
        <v>#N/A</v>
      </c>
      <c r="AA124" s="12">
        <f t="shared" si="27"/>
        <v>23.85</v>
      </c>
    </row>
    <row r="125" spans="1:27" x14ac:dyDescent="0.25">
      <c r="A125" t="s">
        <v>121</v>
      </c>
      <c r="B125" s="10" t="str">
        <f>BATCH20!A47</f>
        <v>20-45</v>
      </c>
      <c r="C125" s="11">
        <f>BATCH20!B47</f>
        <v>56</v>
      </c>
      <c r="D125" s="11">
        <f>BATCH20!C47</f>
        <v>55</v>
      </c>
      <c r="E125" s="12">
        <f t="shared" si="16"/>
        <v>55.5</v>
      </c>
      <c r="F125" s="13">
        <f t="shared" si="17"/>
        <v>1</v>
      </c>
      <c r="G125" s="14">
        <f>BATCH20!D47</f>
        <v>23.94</v>
      </c>
      <c r="H125" s="15" t="str">
        <f t="shared" si="18"/>
        <v>In</v>
      </c>
      <c r="I125" s="15" t="str">
        <f t="shared" si="19"/>
        <v>Yes</v>
      </c>
      <c r="J125" s="16">
        <f t="shared" si="20"/>
        <v>55.523940000000003</v>
      </c>
      <c r="K125" s="17">
        <f>RANK(J125,$J$31:$J$130,1)+COUNTIF($J$31:J125,J125)-1</f>
        <v>57</v>
      </c>
      <c r="L125" s="26">
        <f>IFERROR(MATCH(O125,GROUPS!$B$15:$B$50,0),"")</f>
        <v>1</v>
      </c>
      <c r="M125" s="13">
        <f t="shared" si="21"/>
        <v>54</v>
      </c>
      <c r="N125" s="13">
        <f t="shared" si="22"/>
        <v>23.5</v>
      </c>
      <c r="O125" t="str">
        <f t="shared" si="23"/>
        <v>54.0 lb / 23.5 g</v>
      </c>
      <c r="P125" s="18">
        <f t="shared" si="24"/>
        <v>10</v>
      </c>
      <c r="Y125" s="12">
        <f t="shared" si="25"/>
        <v>55.5</v>
      </c>
      <c r="Z125" s="12" t="e">
        <f t="shared" si="26"/>
        <v>#N/A</v>
      </c>
      <c r="AA125" s="12">
        <f t="shared" si="27"/>
        <v>23.94</v>
      </c>
    </row>
    <row r="126" spans="1:27" x14ac:dyDescent="0.25">
      <c r="A126" t="s">
        <v>121</v>
      </c>
      <c r="B126" s="10" t="str">
        <f>BATCH20!A48</f>
        <v>20-46</v>
      </c>
      <c r="C126" s="11">
        <f>BATCH20!B48</f>
        <v>58</v>
      </c>
      <c r="D126" s="11">
        <f>BATCH20!C48</f>
        <v>58</v>
      </c>
      <c r="E126" s="12">
        <f t="shared" si="16"/>
        <v>58</v>
      </c>
      <c r="F126" s="13">
        <f t="shared" si="17"/>
        <v>0</v>
      </c>
      <c r="G126" s="14">
        <f>BATCH20!D48</f>
        <v>24.46</v>
      </c>
      <c r="H126" s="15" t="str">
        <f t="shared" si="18"/>
        <v>In</v>
      </c>
      <c r="I126" s="15" t="str">
        <f t="shared" si="19"/>
        <v>Yes</v>
      </c>
      <c r="J126" s="16">
        <f t="shared" si="20"/>
        <v>58.024459999999998</v>
      </c>
      <c r="K126" s="17">
        <f>RANK(J126,$J$31:$J$130,1)+COUNTIF($J$31:J126,J126)-1</f>
        <v>90</v>
      </c>
      <c r="L126" s="26">
        <f>IFERROR(MATCH(O126,GROUPS!$B$15:$B$50,0),"")</f>
        <v>9</v>
      </c>
      <c r="M126" s="13">
        <f t="shared" si="21"/>
        <v>57</v>
      </c>
      <c r="N126" s="13">
        <f t="shared" si="22"/>
        <v>24</v>
      </c>
      <c r="O126" t="str">
        <f t="shared" si="23"/>
        <v>57.0 lb / 24.0 g</v>
      </c>
      <c r="P126" s="18">
        <f t="shared" si="24"/>
        <v>5</v>
      </c>
      <c r="Y126" s="12">
        <f t="shared" si="25"/>
        <v>58</v>
      </c>
      <c r="Z126" s="12" t="e">
        <f t="shared" si="26"/>
        <v>#N/A</v>
      </c>
      <c r="AA126" s="12">
        <f t="shared" si="27"/>
        <v>24.46</v>
      </c>
    </row>
    <row r="127" spans="1:27" x14ac:dyDescent="0.25">
      <c r="A127" t="s">
        <v>121</v>
      </c>
      <c r="B127" s="10" t="str">
        <f>BATCH20!A49</f>
        <v>20-47</v>
      </c>
      <c r="C127" s="11">
        <f>BATCH20!B49</f>
        <v>54</v>
      </c>
      <c r="D127" s="11">
        <f>BATCH20!C49</f>
        <v>53</v>
      </c>
      <c r="E127" s="12">
        <f t="shared" si="16"/>
        <v>53.5</v>
      </c>
      <c r="F127" s="13">
        <f t="shared" si="17"/>
        <v>1</v>
      </c>
      <c r="G127" s="14">
        <f>BATCH20!D49</f>
        <v>21.7</v>
      </c>
      <c r="H127" s="15" t="str">
        <f t="shared" si="18"/>
        <v>Under</v>
      </c>
      <c r="I127" s="15" t="str">
        <f t="shared" si="19"/>
        <v>Yes</v>
      </c>
      <c r="J127" s="16">
        <f t="shared" si="20"/>
        <v>53.521700000000003</v>
      </c>
      <c r="K127" s="17">
        <f>RANK(J127,$J$31:$J$130,1)+COUNTIF($J$31:J127,J127)-1</f>
        <v>24</v>
      </c>
      <c r="L127" s="26">
        <f>IFERROR(MATCH(O127,GROUPS!$B$15:$B$50,0),"")</f>
        <v>3</v>
      </c>
      <c r="M127" s="13">
        <f t="shared" si="21"/>
        <v>51</v>
      </c>
      <c r="N127" s="13">
        <f t="shared" si="22"/>
        <v>21.5</v>
      </c>
      <c r="O127" t="str">
        <f t="shared" si="23"/>
        <v>51.0 lb / 21.5 g</v>
      </c>
      <c r="P127" s="18">
        <f t="shared" si="24"/>
        <v>6</v>
      </c>
      <c r="Y127" s="12">
        <f t="shared" si="25"/>
        <v>53.5</v>
      </c>
      <c r="Z127" s="12" t="e">
        <f t="shared" si="26"/>
        <v>#N/A</v>
      </c>
      <c r="AA127" s="12">
        <f t="shared" si="27"/>
        <v>21.7</v>
      </c>
    </row>
    <row r="128" spans="1:27" x14ac:dyDescent="0.25">
      <c r="A128" t="s">
        <v>121</v>
      </c>
      <c r="B128" s="10" t="str">
        <f>BATCH20!A50</f>
        <v>20-48</v>
      </c>
      <c r="C128" s="11">
        <f>BATCH20!B50</f>
        <v>58</v>
      </c>
      <c r="D128" s="11">
        <f>BATCH20!C50</f>
        <v>57</v>
      </c>
      <c r="E128" s="12">
        <f t="shared" si="16"/>
        <v>57.5</v>
      </c>
      <c r="F128" s="13">
        <f t="shared" si="17"/>
        <v>1</v>
      </c>
      <c r="G128" s="14">
        <f>BATCH20!D50</f>
        <v>25.26</v>
      </c>
      <c r="H128" s="15" t="str">
        <f t="shared" si="18"/>
        <v>In</v>
      </c>
      <c r="I128" s="15" t="str">
        <f t="shared" si="19"/>
        <v>Yes</v>
      </c>
      <c r="J128" s="16">
        <f t="shared" si="20"/>
        <v>57.525260000000003</v>
      </c>
      <c r="K128" s="17">
        <f>RANK(J128,$J$31:$J$130,1)+COUNTIF($J$31:J128,J128)-1</f>
        <v>85</v>
      </c>
      <c r="L128" s="26">
        <f>IFERROR(MATCH(O128,GROUPS!$B$15:$B$50,0),"")</f>
        <v>15</v>
      </c>
      <c r="M128" s="13">
        <f t="shared" si="21"/>
        <v>57</v>
      </c>
      <c r="N128" s="13">
        <f t="shared" si="22"/>
        <v>25</v>
      </c>
      <c r="O128" t="str">
        <f t="shared" si="23"/>
        <v>57.0 lb / 25.0 g</v>
      </c>
      <c r="P128" s="18">
        <f t="shared" si="24"/>
        <v>3</v>
      </c>
      <c r="Y128" s="12">
        <f t="shared" si="25"/>
        <v>57.5</v>
      </c>
      <c r="Z128" s="12" t="e">
        <f t="shared" si="26"/>
        <v>#N/A</v>
      </c>
      <c r="AA128" s="12">
        <f t="shared" si="27"/>
        <v>25.26</v>
      </c>
    </row>
    <row r="129" spans="1:27" x14ac:dyDescent="0.25">
      <c r="A129" t="s">
        <v>121</v>
      </c>
      <c r="B129" s="10" t="str">
        <f>BATCH20!A51</f>
        <v>20-49</v>
      </c>
      <c r="C129" s="11">
        <f>BATCH20!B51</f>
        <v>54</v>
      </c>
      <c r="D129" s="11">
        <f>BATCH20!C51</f>
        <v>53</v>
      </c>
      <c r="E129" s="12">
        <f t="shared" si="16"/>
        <v>53.5</v>
      </c>
      <c r="F129" s="13">
        <f t="shared" si="17"/>
        <v>1</v>
      </c>
      <c r="G129" s="14">
        <f>BATCH20!D51</f>
        <v>24</v>
      </c>
      <c r="H129" s="15" t="str">
        <f t="shared" si="18"/>
        <v>Under</v>
      </c>
      <c r="I129" s="15" t="str">
        <f t="shared" si="19"/>
        <v>Yes</v>
      </c>
      <c r="J129" s="16">
        <f t="shared" si="20"/>
        <v>53.524000000000001</v>
      </c>
      <c r="K129" s="17">
        <f>RANK(J129,$J$31:$J$130,1)+COUNTIF($J$31:J129,J129)-1</f>
        <v>25</v>
      </c>
      <c r="L129" s="26">
        <f>IFERROR(MATCH(O129,GROUPS!$B$15:$B$50,0),"")</f>
        <v>18</v>
      </c>
      <c r="M129" s="13">
        <f t="shared" si="21"/>
        <v>51</v>
      </c>
      <c r="N129" s="13">
        <f t="shared" si="22"/>
        <v>24</v>
      </c>
      <c r="O129" t="str">
        <f t="shared" si="23"/>
        <v>51.0 lb / 24.0 g</v>
      </c>
      <c r="P129" s="18">
        <f t="shared" si="24"/>
        <v>2</v>
      </c>
      <c r="Y129" s="12">
        <f t="shared" si="25"/>
        <v>53.5</v>
      </c>
      <c r="Z129" s="12" t="e">
        <f t="shared" si="26"/>
        <v>#N/A</v>
      </c>
      <c r="AA129" s="12">
        <f t="shared" si="27"/>
        <v>24</v>
      </c>
    </row>
    <row r="130" spans="1:27" x14ac:dyDescent="0.25">
      <c r="A130" t="s">
        <v>121</v>
      </c>
      <c r="B130" s="10" t="str">
        <f>BATCH20!A52</f>
        <v>20-50</v>
      </c>
      <c r="C130" s="11">
        <f>BATCH20!B52</f>
        <v>58</v>
      </c>
      <c r="D130" s="11">
        <f>BATCH20!C52</f>
        <v>56</v>
      </c>
      <c r="E130" s="12">
        <f t="shared" si="16"/>
        <v>57</v>
      </c>
      <c r="F130" s="13">
        <f t="shared" si="17"/>
        <v>2</v>
      </c>
      <c r="G130" s="14">
        <f>BATCH20!D52</f>
        <v>24.41</v>
      </c>
      <c r="H130" s="15" t="str">
        <f t="shared" si="18"/>
        <v>In</v>
      </c>
      <c r="I130" s="15" t="str">
        <f t="shared" si="19"/>
        <v>No</v>
      </c>
      <c r="J130" s="16">
        <f t="shared" si="20"/>
        <v>57.024410000000003</v>
      </c>
      <c r="K130" s="17">
        <f>RANK(J130,$J$31:$J$130,1)+COUNTIF($J$31:J130,J130)-1</f>
        <v>82</v>
      </c>
      <c r="L130" s="26">
        <f>IFERROR(MATCH(O130,GROUPS!$B$15:$B$50,0),"")</f>
        <v>9</v>
      </c>
      <c r="M130" s="13">
        <f t="shared" si="21"/>
        <v>57</v>
      </c>
      <c r="N130" s="13">
        <f t="shared" si="22"/>
        <v>24</v>
      </c>
      <c r="O130" t="str">
        <f t="shared" si="23"/>
        <v>57.0 lb / 24.0 g</v>
      </c>
      <c r="P130" s="18">
        <f t="shared" si="24"/>
        <v>5</v>
      </c>
      <c r="Y130" s="12">
        <f t="shared" si="25"/>
        <v>57</v>
      </c>
      <c r="Z130" s="12" t="e">
        <f t="shared" si="26"/>
        <v>#N/A</v>
      </c>
      <c r="AA130" s="12">
        <f t="shared" si="27"/>
        <v>24.41</v>
      </c>
    </row>
  </sheetData>
  <conditionalFormatting sqref="H31:H130">
    <cfRule type="containsText" dxfId="3" priority="5" operator="containsText" text="In">
      <formula>NOT(ISERROR(SEARCH("In",H31)))</formula>
    </cfRule>
    <cfRule type="containsText" dxfId="2" priority="6" operator="containsText" text="Under">
      <formula>NOT(ISERROR(SEARCH("Under",H31)))</formula>
    </cfRule>
    <cfRule type="containsText" dxfId="1" priority="7" operator="containsText" text="Over">
      <formula>NOT(ISERROR(SEARCH("Over",H31)))</formula>
    </cfRule>
  </conditionalFormatting>
  <conditionalFormatting sqref="I31:I130">
    <cfRule type="containsText" dxfId="0" priority="8" operator="containsText" text="No">
      <formula>NOT(ISERROR(SEARCH("No",I31)))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SPEC</vt:lpstr>
      <vt:lpstr>BATCH19</vt:lpstr>
      <vt:lpstr>BATCH20</vt:lpstr>
      <vt:lpstr>CLUSTERS</vt:lpstr>
      <vt:lpstr>GROUPS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Kieron Cassidy</dc:creator>
  <cp:lastModifiedBy>Kieron Cassidy</cp:lastModifiedBy>
  <cp:revision>25</cp:revision>
  <dcterms:created xsi:type="dcterms:W3CDTF">2026-09-01T19:22:14Z</dcterms:created>
  <dcterms:modified xsi:type="dcterms:W3CDTF">2026-09-03T07:06:05Z</dcterms:modified>
</cp:coreProperties>
</file>